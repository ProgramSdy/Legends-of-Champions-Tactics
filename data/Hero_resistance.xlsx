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Git_Projects\Legends of Champions Tactics_Git\data\"/>
    </mc:Choice>
  </mc:AlternateContent>
  <xr:revisionPtr revIDLastSave="0" documentId="13_ncr:1_{80452698-97D6-4365-9656-8AA31326ABFC}" xr6:coauthVersionLast="47" xr6:coauthVersionMax="47" xr10:uidLastSave="{00000000-0000-0000-0000-000000000000}"/>
  <bookViews>
    <workbookView xWindow="15180" yWindow="-16455" windowWidth="29040" windowHeight="15720" activeTab="1" xr2:uid="{00000000-000D-0000-FFFF-FFFF00000000}"/>
  </bookViews>
  <sheets>
    <sheet name="Bar" sheetId="1" r:id="rId1"/>
    <sheet name="Resistance Li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uQ/6Eij3Ou8L773lI1Mo/3PbRyPQGPN46BVflcGvfXE="/>
    </ext>
  </extLst>
</workbook>
</file>

<file path=xl/calcChain.xml><?xml version="1.0" encoding="utf-8"?>
<calcChain xmlns="http://schemas.openxmlformats.org/spreadsheetml/2006/main">
  <c r="I22" i="2" l="1"/>
  <c r="I19" i="2"/>
  <c r="I16" i="2"/>
  <c r="I13" i="2"/>
  <c r="I10" i="2"/>
  <c r="I7" i="2"/>
  <c r="I4" i="2"/>
  <c r="W22" i="2"/>
  <c r="W19" i="2"/>
  <c r="W16" i="2"/>
  <c r="W13" i="2"/>
  <c r="W10" i="2"/>
  <c r="W7" i="2"/>
  <c r="W4" i="2"/>
  <c r="V22" i="2"/>
  <c r="V19" i="2"/>
  <c r="V16" i="2"/>
  <c r="V13" i="2"/>
  <c r="V10" i="2"/>
  <c r="V7" i="2"/>
  <c r="V4" i="2"/>
  <c r="AI22" i="2"/>
  <c r="AI19" i="2"/>
  <c r="AI16" i="2"/>
  <c r="AI13" i="2"/>
  <c r="AI10" i="2"/>
  <c r="AI7" i="2"/>
  <c r="AI4" i="2"/>
  <c r="AH22" i="2"/>
  <c r="AG22" i="2"/>
  <c r="AF22" i="2"/>
  <c r="L8" i="1" s="1"/>
  <c r="AE22" i="2"/>
  <c r="K8" i="1" s="1"/>
  <c r="AD22" i="2"/>
  <c r="AC22" i="2"/>
  <c r="AB22" i="2"/>
  <c r="AA22" i="2"/>
  <c r="I8" i="1" s="1"/>
  <c r="Z22" i="2"/>
  <c r="Y22" i="2"/>
  <c r="X22" i="2"/>
  <c r="H8" i="1" s="1"/>
  <c r="U22" i="2"/>
  <c r="T22" i="2"/>
  <c r="S22" i="2"/>
  <c r="R22" i="2"/>
  <c r="Q22" i="2"/>
  <c r="P22" i="2"/>
  <c r="O22" i="2"/>
  <c r="N22" i="2"/>
  <c r="M22" i="2"/>
  <c r="D8" i="1" s="1"/>
  <c r="L22" i="2"/>
  <c r="K22" i="2"/>
  <c r="J22" i="2"/>
  <c r="C8" i="1" s="1"/>
  <c r="H22" i="2"/>
  <c r="G22" i="2"/>
  <c r="F22" i="2"/>
  <c r="E22" i="2"/>
  <c r="D22" i="2"/>
  <c r="C22" i="2"/>
  <c r="B22" i="2"/>
  <c r="AH19" i="2"/>
  <c r="AG19" i="2"/>
  <c r="M7" i="1" s="1"/>
  <c r="AF19" i="2"/>
  <c r="L7" i="1" s="1"/>
  <c r="AE19" i="2"/>
  <c r="AD19" i="2"/>
  <c r="J7" i="1" s="1"/>
  <c r="AC19" i="2"/>
  <c r="AB19" i="2"/>
  <c r="AA19" i="2"/>
  <c r="I7" i="1" s="1"/>
  <c r="Z19" i="2"/>
  <c r="Y19" i="2"/>
  <c r="X19" i="2"/>
  <c r="U19" i="2"/>
  <c r="G7" i="1" s="1"/>
  <c r="T19" i="2"/>
  <c r="S19" i="2"/>
  <c r="R19" i="2"/>
  <c r="Q19" i="2"/>
  <c r="P19" i="2"/>
  <c r="O19" i="2"/>
  <c r="E7" i="1" s="1"/>
  <c r="N19" i="2"/>
  <c r="M19" i="2"/>
  <c r="L19" i="2"/>
  <c r="K19" i="2"/>
  <c r="J19" i="2"/>
  <c r="C7" i="1" s="1"/>
  <c r="H19" i="2"/>
  <c r="G19" i="2"/>
  <c r="F19" i="2"/>
  <c r="E19" i="2"/>
  <c r="D19" i="2"/>
  <c r="C19" i="2"/>
  <c r="B19" i="2"/>
  <c r="B7" i="1" s="1"/>
  <c r="AH16" i="2"/>
  <c r="AG16" i="2"/>
  <c r="AF16" i="2"/>
  <c r="AE16" i="2"/>
  <c r="K6" i="1" s="1"/>
  <c r="AD16" i="2"/>
  <c r="J6" i="1" s="1"/>
  <c r="AC16" i="2"/>
  <c r="AB16" i="2"/>
  <c r="AA16" i="2"/>
  <c r="Z16" i="2"/>
  <c r="Y16" i="2"/>
  <c r="X16" i="2"/>
  <c r="U16" i="2"/>
  <c r="G6" i="1" s="1"/>
  <c r="T16" i="2"/>
  <c r="S16" i="2"/>
  <c r="R16" i="2"/>
  <c r="Q16" i="2"/>
  <c r="P16" i="2"/>
  <c r="F6" i="1" s="1"/>
  <c r="O16" i="2"/>
  <c r="E6" i="1" s="1"/>
  <c r="N16" i="2"/>
  <c r="M16" i="2"/>
  <c r="D6" i="1" s="1"/>
  <c r="L16" i="2"/>
  <c r="K16" i="2"/>
  <c r="J16" i="2"/>
  <c r="C6" i="1" s="1"/>
  <c r="H16" i="2"/>
  <c r="G16" i="2"/>
  <c r="F16" i="2"/>
  <c r="E16" i="2"/>
  <c r="D16" i="2"/>
  <c r="C16" i="2"/>
  <c r="B16" i="2"/>
  <c r="B6" i="1" s="1"/>
  <c r="AH13" i="2"/>
  <c r="AG13" i="2"/>
  <c r="AF13" i="2"/>
  <c r="L5" i="1" s="1"/>
  <c r="AE13" i="2"/>
  <c r="AD13" i="2"/>
  <c r="AC13" i="2"/>
  <c r="AB13" i="2"/>
  <c r="AA13" i="2"/>
  <c r="I5" i="1" s="1"/>
  <c r="Z13" i="2"/>
  <c r="Y13" i="2"/>
  <c r="X13" i="2"/>
  <c r="U13" i="2"/>
  <c r="G5" i="1" s="1"/>
  <c r="T13" i="2"/>
  <c r="S13" i="2"/>
  <c r="R13" i="2"/>
  <c r="Q13" i="2"/>
  <c r="P13" i="2"/>
  <c r="F5" i="1" s="1"/>
  <c r="O13" i="2"/>
  <c r="N13" i="2"/>
  <c r="M13" i="2"/>
  <c r="L13" i="2"/>
  <c r="K13" i="2"/>
  <c r="J13" i="2"/>
  <c r="C5" i="1" s="1"/>
  <c r="H13" i="2"/>
  <c r="G13" i="2"/>
  <c r="F13" i="2"/>
  <c r="E13" i="2"/>
  <c r="D13" i="2"/>
  <c r="C13" i="2"/>
  <c r="B13" i="2"/>
  <c r="B5" i="1" s="1"/>
  <c r="AH10" i="2"/>
  <c r="AG10" i="2"/>
  <c r="M4" i="1" s="1"/>
  <c r="AF10" i="2"/>
  <c r="L4" i="1" s="1"/>
  <c r="AE10" i="2"/>
  <c r="K4" i="1" s="1"/>
  <c r="AD10" i="2"/>
  <c r="AC10" i="2"/>
  <c r="AB10" i="2"/>
  <c r="AA10" i="2"/>
  <c r="I4" i="1" s="1"/>
  <c r="Z10" i="2"/>
  <c r="Y10" i="2"/>
  <c r="X10" i="2"/>
  <c r="H4" i="1" s="1"/>
  <c r="U10" i="2"/>
  <c r="G4" i="1" s="1"/>
  <c r="T10" i="2"/>
  <c r="S10" i="2"/>
  <c r="R10" i="2"/>
  <c r="Q10" i="2"/>
  <c r="P10" i="2"/>
  <c r="F4" i="1" s="1"/>
  <c r="O10" i="2"/>
  <c r="N10" i="2"/>
  <c r="M10" i="2"/>
  <c r="L10" i="2"/>
  <c r="K10" i="2"/>
  <c r="J10" i="2"/>
  <c r="H10" i="2"/>
  <c r="G10" i="2"/>
  <c r="F10" i="2"/>
  <c r="E10" i="2"/>
  <c r="D10" i="2"/>
  <c r="C10" i="2"/>
  <c r="B10" i="2"/>
  <c r="B4" i="1" s="1"/>
  <c r="AH7" i="2"/>
  <c r="AG7" i="2"/>
  <c r="M3" i="1" s="1"/>
  <c r="AF7" i="2"/>
  <c r="L3" i="1" s="1"/>
  <c r="AE7" i="2"/>
  <c r="K3" i="1" s="1"/>
  <c r="AD7" i="2"/>
  <c r="J3" i="1" s="1"/>
  <c r="AC7" i="2"/>
  <c r="AB7" i="2"/>
  <c r="AA7" i="2"/>
  <c r="Z7" i="2"/>
  <c r="Y7" i="2"/>
  <c r="X7" i="2"/>
  <c r="U7" i="2"/>
  <c r="G3" i="1" s="1"/>
  <c r="T7" i="2"/>
  <c r="S7" i="2"/>
  <c r="R7" i="2"/>
  <c r="Q7" i="2"/>
  <c r="P7" i="2"/>
  <c r="F3" i="1" s="1"/>
  <c r="O7" i="2"/>
  <c r="E3" i="1" s="1"/>
  <c r="N7" i="2"/>
  <c r="M7" i="2"/>
  <c r="D3" i="1" s="1"/>
  <c r="L7" i="2"/>
  <c r="K7" i="2"/>
  <c r="J7" i="2"/>
  <c r="C3" i="1" s="1"/>
  <c r="H7" i="2"/>
  <c r="G7" i="2"/>
  <c r="F7" i="2"/>
  <c r="E7" i="2"/>
  <c r="D7" i="2"/>
  <c r="C7" i="2"/>
  <c r="B7" i="2"/>
  <c r="AH4" i="2"/>
  <c r="AG4" i="2"/>
  <c r="M2" i="1" s="1"/>
  <c r="AF4" i="2"/>
  <c r="AE4" i="2"/>
  <c r="K2" i="1" s="1"/>
  <c r="AD4" i="2"/>
  <c r="AC4" i="2"/>
  <c r="AB4" i="2"/>
  <c r="AB24" i="2" s="1"/>
  <c r="AB25" i="2" s="1"/>
  <c r="AA4" i="2"/>
  <c r="I2" i="1" s="1"/>
  <c r="Z4" i="2"/>
  <c r="Y4" i="2"/>
  <c r="X4" i="2"/>
  <c r="H2" i="1" s="1"/>
  <c r="U4" i="2"/>
  <c r="G2" i="1" s="1"/>
  <c r="T4" i="2"/>
  <c r="S4" i="2"/>
  <c r="R4" i="2"/>
  <c r="Q4" i="2"/>
  <c r="P4" i="2"/>
  <c r="F2" i="1" s="1"/>
  <c r="O4" i="2"/>
  <c r="E2" i="1" s="1"/>
  <c r="N4" i="2"/>
  <c r="M4" i="2"/>
  <c r="L4" i="2"/>
  <c r="K4" i="2"/>
  <c r="J4" i="2"/>
  <c r="C2" i="1" s="1"/>
  <c r="H4" i="2"/>
  <c r="G4" i="2"/>
  <c r="F4" i="2"/>
  <c r="E4" i="2"/>
  <c r="D4" i="2"/>
  <c r="C4" i="2"/>
  <c r="B4" i="2"/>
  <c r="B2" i="1" s="1"/>
  <c r="M8" i="1"/>
  <c r="J8" i="1"/>
  <c r="G8" i="1"/>
  <c r="F8" i="1"/>
  <c r="E8" i="1"/>
  <c r="B8" i="1"/>
  <c r="K7" i="1"/>
  <c r="H7" i="1"/>
  <c r="F7" i="1"/>
  <c r="D7" i="1"/>
  <c r="M6" i="1"/>
  <c r="L6" i="1"/>
  <c r="H6" i="1"/>
  <c r="M5" i="1"/>
  <c r="K5" i="1"/>
  <c r="J5" i="1"/>
  <c r="H5" i="1"/>
  <c r="E5" i="1"/>
  <c r="D5" i="1"/>
  <c r="J4" i="1"/>
  <c r="D4" i="1"/>
  <c r="C4" i="1"/>
  <c r="I3" i="1"/>
  <c r="L2" i="1"/>
  <c r="J2" i="1"/>
  <c r="I24" i="2" l="1"/>
  <c r="I25" i="2" s="1"/>
  <c r="W24" i="2"/>
  <c r="W25" i="2" s="1"/>
  <c r="AC24" i="2"/>
  <c r="AC25" i="2" s="1"/>
  <c r="M24" i="2"/>
  <c r="M25" i="2" s="1"/>
  <c r="K24" i="2"/>
  <c r="K25" i="2" s="1"/>
  <c r="V24" i="2"/>
  <c r="V25" i="2" s="1"/>
  <c r="G24" i="2"/>
  <c r="G25" i="2" s="1"/>
  <c r="X24" i="2"/>
  <c r="X25" i="2" s="1"/>
  <c r="C24" i="2"/>
  <c r="C25" i="2" s="1"/>
  <c r="H24" i="2"/>
  <c r="H25" i="2" s="1"/>
  <c r="D2" i="1"/>
  <c r="T24" i="2"/>
  <c r="T25" i="2" s="1"/>
  <c r="E24" i="2"/>
  <c r="E25" i="2" s="1"/>
  <c r="Z24" i="2"/>
  <c r="Z25" i="2" s="1"/>
  <c r="H3" i="1"/>
  <c r="AH24" i="2"/>
  <c r="AH25" i="2" s="1"/>
  <c r="R24" i="2"/>
  <c r="R25" i="2" s="1"/>
  <c r="AE24" i="2"/>
  <c r="AE25" i="2" s="1"/>
  <c r="O24" i="2"/>
  <c r="O25" i="2" s="1"/>
  <c r="L24" i="2"/>
  <c r="L25" i="2" s="1"/>
  <c r="AD24" i="2"/>
  <c r="AD25" i="2" s="1"/>
  <c r="N24" i="2"/>
  <c r="N25" i="2" s="1"/>
  <c r="AF24" i="2"/>
  <c r="AF25" i="2" s="1"/>
  <c r="E4" i="1"/>
  <c r="Q24" i="2"/>
  <c r="Q25" i="2" s="1"/>
  <c r="B24" i="2"/>
  <c r="B25" i="2" s="1"/>
  <c r="S24" i="2"/>
  <c r="S25" i="2" s="1"/>
  <c r="AA24" i="2"/>
  <c r="AA25" i="2" s="1"/>
  <c r="U24" i="2"/>
  <c r="U25" i="2" s="1"/>
  <c r="B3" i="1"/>
  <c r="D24" i="2"/>
  <c r="D25" i="2" s="1"/>
  <c r="F24" i="2"/>
  <c r="F25" i="2" s="1"/>
  <c r="Y24" i="2"/>
  <c r="Y25" i="2" s="1"/>
  <c r="AI24" i="2"/>
  <c r="AI25" i="2" s="1"/>
  <c r="AG24" i="2"/>
  <c r="AG25" i="2" s="1"/>
  <c r="P24" i="2"/>
  <c r="P25" i="2" s="1"/>
  <c r="I6" i="1"/>
  <c r="J24" i="2"/>
  <c r="J25" i="2" s="1"/>
</calcChain>
</file>

<file path=xl/sharedStrings.xml><?xml version="1.0" encoding="utf-8"?>
<sst xmlns="http://schemas.openxmlformats.org/spreadsheetml/2006/main" count="76" uniqueCount="65">
  <si>
    <t>Warrior</t>
  </si>
  <si>
    <t>Paladin</t>
  </si>
  <si>
    <t>Rogue</t>
  </si>
  <si>
    <t>Mage</t>
  </si>
  <si>
    <t>Priest</t>
  </si>
  <si>
    <t>Necromancer</t>
  </si>
  <si>
    <t>Warlock</t>
  </si>
  <si>
    <t>Death Knight</t>
  </si>
  <si>
    <t>Mage_Arcane</t>
  </si>
  <si>
    <t>Mage_Fire</t>
  </si>
  <si>
    <t>Mage_Frost</t>
  </si>
  <si>
    <t>Mage_Water</t>
  </si>
  <si>
    <t>Fire_resistance</t>
  </si>
  <si>
    <t>Frost_resistance</t>
  </si>
  <si>
    <t>Arcane_resistance</t>
  </si>
  <si>
    <t>Shadow_resistance</t>
  </si>
  <si>
    <t>Death_resistance</t>
  </si>
  <si>
    <t>Poison_resistance</t>
  </si>
  <si>
    <t>Nature_resistance</t>
  </si>
  <si>
    <t>Warrior_Comprehensiveness</t>
  </si>
  <si>
    <t>Warrior_Defence</t>
  </si>
  <si>
    <t>Warrior_Weapon_Master</t>
  </si>
  <si>
    <t>Warrior_Berserker</t>
  </si>
  <si>
    <t>Warrior_Skeleton</t>
  </si>
  <si>
    <t>Warrior_Void_Rambler</t>
  </si>
  <si>
    <t>Warrior_Water_Elemental</t>
  </si>
  <si>
    <t>Paladin_Retribution</t>
  </si>
  <si>
    <t>Paladin_Protection</t>
  </si>
  <si>
    <t>Paladin_Holy</t>
  </si>
  <si>
    <t>Rogue_Comprehensiveness</t>
  </si>
  <si>
    <t>Rogue_Assassination</t>
  </si>
  <si>
    <t>Rogue_Toxicology</t>
  </si>
  <si>
    <t>Priest_Comprehensiveness</t>
  </si>
  <si>
    <t>Priest_Shelter</t>
  </si>
  <si>
    <t>Priest_Discipline</t>
  </si>
  <si>
    <t>Priest_Shadow</t>
  </si>
  <si>
    <t>Priest_Devine</t>
  </si>
  <si>
    <t>Warlock_Comprehensiveness</t>
  </si>
  <si>
    <t>Warlock_Affliction</t>
  </si>
  <si>
    <t>Warlock_Destruction</t>
  </si>
  <si>
    <t>Death Knight_Frost</t>
  </si>
  <si>
    <t>Death Knight_Plague</t>
  </si>
  <si>
    <t>Death Knight_Blood</t>
  </si>
  <si>
    <t>Mage_Comprehensiveness</t>
  </si>
  <si>
    <t>Fire_resistance_Max</t>
  </si>
  <si>
    <t>Fire_resistance_Min</t>
  </si>
  <si>
    <t>Frost_resistance_Max</t>
  </si>
  <si>
    <t>Frost_resistance_Min</t>
  </si>
  <si>
    <t>Arcane_resistance_Max</t>
  </si>
  <si>
    <t>Arcane_resistance_Min</t>
  </si>
  <si>
    <t>Shadow_resistance_Max</t>
  </si>
  <si>
    <t>Shadow_resistance_Min</t>
  </si>
  <si>
    <t>Death_resistance_Max</t>
  </si>
  <si>
    <t>Death_resistance_Min</t>
  </si>
  <si>
    <t>Poison_resistance_Max</t>
  </si>
  <si>
    <t>Poison_resistance_Min</t>
  </si>
  <si>
    <t>Nature_resistance_Max</t>
  </si>
  <si>
    <t>Nature_resistance_Min</t>
  </si>
  <si>
    <t>Sum</t>
  </si>
  <si>
    <t>Avg</t>
  </si>
  <si>
    <t>Necromancer_Necromancy</t>
  </si>
  <si>
    <t>Mage_Skeleton</t>
  </si>
  <si>
    <t>Necromancer_Bone_Master</t>
  </si>
  <si>
    <t>Necromancer_Flesh_Puppeteer</t>
  </si>
  <si>
    <t>Warrior_Flesh_Puppet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</si>
</sst>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rgb="FF000000"/>
      <name val="Arial"/>
    </font>
    <font>
      <sz val="11"/>
      <color rgb="FF434343"/>
      <name val="Arial"/>
    </font>
    <font>
      <sz val="11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18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/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/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/>
      <bottom/>
      <diagonal/>
    </border>
    <border>
      <left/>
      <right/>
      <top/>
      <bottom/>
      <diagonal/>
    </border>
    <border>
      <left/>
      <right style="thin">
        <color rgb="FFAAAAAA"/>
      </right>
      <top/>
      <bottom/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/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/>
    <xf numFmtId="49" fontId="2" fillId="0" borderId="2" xfId="0" applyNumberFormat="1" applyFont="1" applyBorder="1"/>
    <xf numFmtId="49" fontId="3" fillId="0" borderId="3" xfId="0" applyNumberFormat="1" applyFont="1" applyBorder="1"/>
    <xf numFmtId="49" fontId="3" fillId="0" borderId="4" xfId="0" applyNumberFormat="1" applyFont="1" applyBorder="1"/>
    <xf numFmtId="49" fontId="2" fillId="3" borderId="5" xfId="0" applyNumberFormat="1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49" fontId="2" fillId="0" borderId="7" xfId="0" applyNumberFormat="1" applyFont="1" applyBorder="1"/>
    <xf numFmtId="0" fontId="2" fillId="0" borderId="0" xfId="0" applyFont="1" applyAlignment="1">
      <alignment horizontal="center"/>
    </xf>
    <xf numFmtId="0" fontId="2" fillId="3" borderId="8" xfId="0" applyFont="1" applyFill="1" applyBorder="1"/>
    <xf numFmtId="0" fontId="2" fillId="3" borderId="9" xfId="0" applyFont="1" applyFill="1" applyBorder="1"/>
    <xf numFmtId="0" fontId="2" fillId="0" borderId="7" xfId="0" applyFont="1" applyBorder="1"/>
    <xf numFmtId="0" fontId="2" fillId="0" borderId="0" xfId="0" applyFont="1"/>
    <xf numFmtId="0" fontId="1" fillId="0" borderId="0" xfId="0" applyFont="1"/>
    <xf numFmtId="49" fontId="2" fillId="0" borderId="2" xfId="0" applyNumberFormat="1" applyFont="1" applyBorder="1" applyAlignment="1">
      <alignment horizontal="center"/>
    </xf>
    <xf numFmtId="49" fontId="3" fillId="0" borderId="10" xfId="0" applyNumberFormat="1" applyFont="1" applyBorder="1" applyAlignment="1">
      <alignment horizontal="center"/>
    </xf>
    <xf numFmtId="49" fontId="3" fillId="0" borderId="11" xfId="0" applyNumberFormat="1" applyFont="1" applyBorder="1" applyAlignment="1">
      <alignment horizontal="center"/>
    </xf>
    <xf numFmtId="49" fontId="2" fillId="4" borderId="12" xfId="0" applyNumberFormat="1" applyFont="1" applyFill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49" fontId="3" fillId="4" borderId="12" xfId="0" applyNumberFormat="1" applyFont="1" applyFill="1" applyBorder="1"/>
    <xf numFmtId="0" fontId="3" fillId="0" borderId="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49" fontId="3" fillId="0" borderId="17" xfId="0" applyNumberFormat="1" applyFont="1" applyBorder="1"/>
    <xf numFmtId="0" fontId="3" fillId="0" borderId="17" xfId="0" applyFont="1" applyBorder="1" applyAlignment="1">
      <alignment horizontal="center"/>
    </xf>
    <xf numFmtId="49" fontId="3" fillId="0" borderId="7" xfId="0" applyNumberFormat="1" applyFont="1" applyBorder="1"/>
    <xf numFmtId="0" fontId="3" fillId="5" borderId="8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0" borderId="14" xfId="0" applyFont="1" applyBorder="1"/>
    <xf numFmtId="0" fontId="1" fillId="0" borderId="14" xfId="0" applyFont="1" applyBorder="1"/>
    <xf numFmtId="49" fontId="3" fillId="0" borderId="11" xfId="0" applyNumberFormat="1" applyFont="1" applyBorder="1"/>
    <xf numFmtId="49" fontId="1" fillId="0" borderId="11" xfId="0" applyNumberFormat="1" applyFont="1" applyBorder="1"/>
    <xf numFmtId="1" fontId="3" fillId="0" borderId="1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0" i="0">
                <a:solidFill>
                  <a:srgbClr val="757575"/>
                </a:solidFill>
                <a:latin typeface="Arial"/>
              </a:defRPr>
            </a:pPr>
            <a:r>
              <a:rPr lang="en-AU" sz="1800" b="0" i="0">
                <a:solidFill>
                  <a:srgbClr val="757575"/>
                </a:solidFill>
                <a:latin typeface="Arial"/>
              </a:rPr>
              <a:t>Points scored</a:t>
            </a:r>
          </a:p>
        </c:rich>
      </c:tx>
      <c:layout>
        <c:manualLayout>
          <c:xMode val="edge"/>
          <c:yMode val="edge"/>
          <c:x val="0.192773"/>
          <c:y val="0"/>
        </c:manualLayout>
      </c:layout>
      <c:overlay val="0"/>
    </c:title>
    <c:autoTitleDeleted val="0"/>
    <c:plotArea>
      <c:layout>
        <c:manualLayout>
          <c:xMode val="edge"/>
          <c:yMode val="edge"/>
          <c:x val="6.48595E-2"/>
          <c:y val="0.167657"/>
          <c:w val="0.53280000000000005"/>
          <c:h val="0.74517800000000001"/>
        </c:manualLayout>
      </c:layout>
      <c:radarChart>
        <c:radarStyle val="marker"/>
        <c:varyColors val="1"/>
        <c:ser>
          <c:idx val="0"/>
          <c:order val="0"/>
          <c:tx>
            <c:strRef>
              <c:f>Bar!$B$1</c:f>
              <c:strCache>
                <c:ptCount val="1"/>
                <c:pt idx="0">
                  <c:v>Warrior</c:v>
                </c:pt>
              </c:strCache>
            </c:strRef>
          </c:tx>
          <c:spPr>
            <a:ln cmpd="sng">
              <a:solidFill>
                <a:srgbClr val="5891AD"/>
              </a:solidFill>
            </a:ln>
          </c:spPr>
          <c:marker>
            <c:symbol val="none"/>
          </c:marker>
          <c:cat>
            <c:strRef>
              <c:f>Bar!$A$2:$A$49</c:f>
              <c:strCache>
                <c:ptCount val="7"/>
                <c:pt idx="0">
                  <c:v>Fire_resistance</c:v>
                </c:pt>
                <c:pt idx="1">
                  <c:v>Frost_resistance</c:v>
                </c:pt>
                <c:pt idx="2">
                  <c:v>Arcane_resistance</c:v>
                </c:pt>
                <c:pt idx="3">
                  <c:v>Shadow_resistance</c:v>
                </c:pt>
                <c:pt idx="4">
                  <c:v>Death_resistance</c:v>
                </c:pt>
                <c:pt idx="5">
                  <c:v>Poison_resistance</c:v>
                </c:pt>
                <c:pt idx="6">
                  <c:v>Nature_resistance</c:v>
                </c:pt>
              </c:strCache>
            </c:strRef>
          </c:cat>
          <c:val>
            <c:numRef>
              <c:f>Bar!$B$2:$B$49</c:f>
              <c:numCache>
                <c:formatCode>General</c:formatCode>
                <c:ptCount val="4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B3-484A-A573-B2E7499A3DFF}"/>
            </c:ext>
          </c:extLst>
        </c:ser>
        <c:ser>
          <c:idx val="1"/>
          <c:order val="1"/>
          <c:tx>
            <c:strRef>
              <c:f>Bar!$C$1</c:f>
              <c:strCache>
                <c:ptCount val="1"/>
                <c:pt idx="0">
                  <c:v>Paladin</c:v>
                </c:pt>
              </c:strCache>
            </c:strRef>
          </c:tx>
          <c:spPr>
            <a:ln cmpd="sng">
              <a:solidFill>
                <a:srgbClr val="004561"/>
              </a:solidFill>
            </a:ln>
          </c:spPr>
          <c:marker>
            <c:symbol val="none"/>
          </c:marker>
          <c:cat>
            <c:strRef>
              <c:f>Bar!$A$2:$A$49</c:f>
              <c:strCache>
                <c:ptCount val="7"/>
                <c:pt idx="0">
                  <c:v>Fire_resistance</c:v>
                </c:pt>
                <c:pt idx="1">
                  <c:v>Frost_resistance</c:v>
                </c:pt>
                <c:pt idx="2">
                  <c:v>Arcane_resistance</c:v>
                </c:pt>
                <c:pt idx="3">
                  <c:v>Shadow_resistance</c:v>
                </c:pt>
                <c:pt idx="4">
                  <c:v>Death_resistance</c:v>
                </c:pt>
                <c:pt idx="5">
                  <c:v>Poison_resistance</c:v>
                </c:pt>
                <c:pt idx="6">
                  <c:v>Nature_resistance</c:v>
                </c:pt>
              </c:strCache>
            </c:strRef>
          </c:cat>
          <c:val>
            <c:numRef>
              <c:f>Bar!$C$2:$C$49</c:f>
              <c:numCache>
                <c:formatCode>General</c:formatCode>
                <c:ptCount val="48"/>
                <c:pt idx="0">
                  <c:v>32</c:v>
                </c:pt>
                <c:pt idx="1">
                  <c:v>32</c:v>
                </c:pt>
                <c:pt idx="2">
                  <c:v>32</c:v>
                </c:pt>
                <c:pt idx="3">
                  <c:v>35</c:v>
                </c:pt>
                <c:pt idx="4">
                  <c:v>35</c:v>
                </c:pt>
                <c:pt idx="5">
                  <c:v>25</c:v>
                </c:pt>
                <c:pt idx="6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B3-484A-A573-B2E7499A3DFF}"/>
            </c:ext>
          </c:extLst>
        </c:ser>
        <c:ser>
          <c:idx val="2"/>
          <c:order val="2"/>
          <c:tx>
            <c:strRef>
              <c:f>Bar!$D$1</c:f>
              <c:strCache>
                <c:ptCount val="1"/>
                <c:pt idx="0">
                  <c:v>Rogue</c:v>
                </c:pt>
              </c:strCache>
            </c:strRef>
          </c:tx>
          <c:spPr>
            <a:ln cmpd="sng">
              <a:solidFill>
                <a:srgbClr val="FF6F31"/>
              </a:solidFill>
            </a:ln>
          </c:spPr>
          <c:marker>
            <c:symbol val="none"/>
          </c:marker>
          <c:cat>
            <c:strRef>
              <c:f>Bar!$A$2:$A$49</c:f>
              <c:strCache>
                <c:ptCount val="7"/>
                <c:pt idx="0">
                  <c:v>Fire_resistance</c:v>
                </c:pt>
                <c:pt idx="1">
                  <c:v>Frost_resistance</c:v>
                </c:pt>
                <c:pt idx="2">
                  <c:v>Arcane_resistance</c:v>
                </c:pt>
                <c:pt idx="3">
                  <c:v>Shadow_resistance</c:v>
                </c:pt>
                <c:pt idx="4">
                  <c:v>Death_resistance</c:v>
                </c:pt>
                <c:pt idx="5">
                  <c:v>Poison_resistance</c:v>
                </c:pt>
                <c:pt idx="6">
                  <c:v>Nature_resistance</c:v>
                </c:pt>
              </c:strCache>
            </c:strRef>
          </c:cat>
          <c:val>
            <c:numRef>
              <c:f>Bar!$D$2:$D$49</c:f>
              <c:numCache>
                <c:formatCode>General</c:formatCode>
                <c:ptCount val="4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45</c:v>
                </c:pt>
                <c:pt idx="6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B3-484A-A573-B2E7499A3DFF}"/>
            </c:ext>
          </c:extLst>
        </c:ser>
        <c:ser>
          <c:idx val="3"/>
          <c:order val="3"/>
          <c:tx>
            <c:strRef>
              <c:f>Bar!$E$1</c:f>
              <c:strCache>
                <c:ptCount val="1"/>
                <c:pt idx="0">
                  <c:v>Mage</c:v>
                </c:pt>
              </c:strCache>
            </c:strRef>
          </c:tx>
          <c:spPr>
            <a:ln cmpd="sng">
              <a:solidFill>
                <a:srgbClr val="1C7685"/>
              </a:solidFill>
            </a:ln>
          </c:spPr>
          <c:marker>
            <c:symbol val="none"/>
          </c:marker>
          <c:cat>
            <c:strRef>
              <c:f>Bar!$A$2:$A$49</c:f>
              <c:strCache>
                <c:ptCount val="7"/>
                <c:pt idx="0">
                  <c:v>Fire_resistance</c:v>
                </c:pt>
                <c:pt idx="1">
                  <c:v>Frost_resistance</c:v>
                </c:pt>
                <c:pt idx="2">
                  <c:v>Arcane_resistance</c:v>
                </c:pt>
                <c:pt idx="3">
                  <c:v>Shadow_resistance</c:v>
                </c:pt>
                <c:pt idx="4">
                  <c:v>Death_resistance</c:v>
                </c:pt>
                <c:pt idx="5">
                  <c:v>Poison_resistance</c:v>
                </c:pt>
                <c:pt idx="6">
                  <c:v>Nature_resistance</c:v>
                </c:pt>
              </c:strCache>
            </c:strRef>
          </c:cat>
          <c:val>
            <c:numRef>
              <c:f>Bar!$E$2:$E$49</c:f>
              <c:numCache>
                <c:formatCode>General</c:formatCode>
                <c:ptCount val="4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45</c:v>
                </c:pt>
                <c:pt idx="6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B3-484A-A573-B2E7499A3DFF}"/>
            </c:ext>
          </c:extLst>
        </c:ser>
        <c:ser>
          <c:idx val="4"/>
          <c:order val="4"/>
          <c:tx>
            <c:strRef>
              <c:f>Bar!$F$1</c:f>
              <c:strCache>
                <c:ptCount val="1"/>
                <c:pt idx="0">
                  <c:v>Priest</c:v>
                </c:pt>
              </c:strCache>
            </c:strRef>
          </c:tx>
          <c:spPr>
            <a:ln cmpd="sng">
              <a:solidFill>
                <a:srgbClr val="0F45A8"/>
              </a:solidFill>
            </a:ln>
          </c:spPr>
          <c:marker>
            <c:symbol val="none"/>
          </c:marker>
          <c:cat>
            <c:strRef>
              <c:f>Bar!$A$2:$A$49</c:f>
              <c:strCache>
                <c:ptCount val="7"/>
                <c:pt idx="0">
                  <c:v>Fire_resistance</c:v>
                </c:pt>
                <c:pt idx="1">
                  <c:v>Frost_resistance</c:v>
                </c:pt>
                <c:pt idx="2">
                  <c:v>Arcane_resistance</c:v>
                </c:pt>
                <c:pt idx="3">
                  <c:v>Shadow_resistance</c:v>
                </c:pt>
                <c:pt idx="4">
                  <c:v>Death_resistance</c:v>
                </c:pt>
                <c:pt idx="5">
                  <c:v>Poison_resistance</c:v>
                </c:pt>
                <c:pt idx="6">
                  <c:v>Nature_resistance</c:v>
                </c:pt>
              </c:strCache>
            </c:strRef>
          </c:cat>
          <c:val>
            <c:numRef>
              <c:f>Bar!$F$2:$F$49</c:f>
              <c:numCache>
                <c:formatCode>General</c:formatCode>
                <c:ptCount val="48"/>
                <c:pt idx="0">
                  <c:v>37</c:v>
                </c:pt>
                <c:pt idx="1">
                  <c:v>37</c:v>
                </c:pt>
                <c:pt idx="2">
                  <c:v>37</c:v>
                </c:pt>
                <c:pt idx="3">
                  <c:v>45</c:v>
                </c:pt>
                <c:pt idx="4">
                  <c:v>45</c:v>
                </c:pt>
                <c:pt idx="5">
                  <c:v>25</c:v>
                </c:pt>
                <c:pt idx="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B3-484A-A573-B2E7499A3DFF}"/>
            </c:ext>
          </c:extLst>
        </c:ser>
        <c:ser>
          <c:idx val="5"/>
          <c:order val="5"/>
          <c:tx>
            <c:strRef>
              <c:f>Bar!$G$1</c:f>
              <c:strCache>
                <c:ptCount val="1"/>
                <c:pt idx="0">
                  <c:v>Necromancer</c:v>
                </c:pt>
              </c:strCache>
            </c:strRef>
          </c:tx>
          <c:spPr>
            <a:ln cmpd="sng">
              <a:solidFill>
                <a:srgbClr val="4CDC8B"/>
              </a:solidFill>
            </a:ln>
          </c:spPr>
          <c:marker>
            <c:symbol val="none"/>
          </c:marker>
          <c:cat>
            <c:strRef>
              <c:f>Bar!$A$2:$A$49</c:f>
              <c:strCache>
                <c:ptCount val="7"/>
                <c:pt idx="0">
                  <c:v>Fire_resistance</c:v>
                </c:pt>
                <c:pt idx="1">
                  <c:v>Frost_resistance</c:v>
                </c:pt>
                <c:pt idx="2">
                  <c:v>Arcane_resistance</c:v>
                </c:pt>
                <c:pt idx="3">
                  <c:v>Shadow_resistance</c:v>
                </c:pt>
                <c:pt idx="4">
                  <c:v>Death_resistance</c:v>
                </c:pt>
                <c:pt idx="5">
                  <c:v>Poison_resistance</c:v>
                </c:pt>
                <c:pt idx="6">
                  <c:v>Nature_resistance</c:v>
                </c:pt>
              </c:strCache>
            </c:strRef>
          </c:cat>
          <c:val>
            <c:numRef>
              <c:f>Bar!$G$2:$G$49</c:f>
              <c:numCache>
                <c:formatCode>General</c:formatCode>
                <c:ptCount val="48"/>
                <c:pt idx="0">
                  <c:v>30</c:v>
                </c:pt>
                <c:pt idx="1">
                  <c:v>30</c:v>
                </c:pt>
                <c:pt idx="2">
                  <c:v>25</c:v>
                </c:pt>
                <c:pt idx="3">
                  <c:v>40</c:v>
                </c:pt>
                <c:pt idx="4">
                  <c:v>50</c:v>
                </c:pt>
                <c:pt idx="5">
                  <c:v>40</c:v>
                </c:pt>
                <c:pt idx="6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DB3-484A-A573-B2E7499A3DFF}"/>
            </c:ext>
          </c:extLst>
        </c:ser>
        <c:ser>
          <c:idx val="6"/>
          <c:order val="6"/>
          <c:tx>
            <c:strRef>
              <c:f>Bar!$H$1</c:f>
              <c:strCache>
                <c:ptCount val="1"/>
                <c:pt idx="0">
                  <c:v>Warlock</c:v>
                </c:pt>
              </c:strCache>
            </c:strRef>
          </c:tx>
          <c:spPr>
            <a:ln cmpd="sng">
              <a:solidFill>
                <a:srgbClr val="8AB2C6"/>
              </a:solidFill>
            </a:ln>
          </c:spPr>
          <c:marker>
            <c:symbol val="none"/>
          </c:marker>
          <c:cat>
            <c:strRef>
              <c:f>Bar!$A$2:$A$49</c:f>
              <c:strCache>
                <c:ptCount val="7"/>
                <c:pt idx="0">
                  <c:v>Fire_resistance</c:v>
                </c:pt>
                <c:pt idx="1">
                  <c:v>Frost_resistance</c:v>
                </c:pt>
                <c:pt idx="2">
                  <c:v>Arcane_resistance</c:v>
                </c:pt>
                <c:pt idx="3">
                  <c:v>Shadow_resistance</c:v>
                </c:pt>
                <c:pt idx="4">
                  <c:v>Death_resistance</c:v>
                </c:pt>
                <c:pt idx="5">
                  <c:v>Poison_resistance</c:v>
                </c:pt>
                <c:pt idx="6">
                  <c:v>Nature_resistance</c:v>
                </c:pt>
              </c:strCache>
            </c:strRef>
          </c:cat>
          <c:val>
            <c:numRef>
              <c:f>Bar!$H$2:$H$49</c:f>
              <c:numCache>
                <c:formatCode>General</c:formatCode>
                <c:ptCount val="48"/>
                <c:pt idx="0">
                  <c:v>45</c:v>
                </c:pt>
                <c:pt idx="1">
                  <c:v>20</c:v>
                </c:pt>
                <c:pt idx="2">
                  <c:v>25</c:v>
                </c:pt>
                <c:pt idx="3">
                  <c:v>45</c:v>
                </c:pt>
                <c:pt idx="4">
                  <c:v>35</c:v>
                </c:pt>
                <c:pt idx="5">
                  <c:v>40</c:v>
                </c:pt>
                <c:pt idx="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DB3-484A-A573-B2E7499A3DFF}"/>
            </c:ext>
          </c:extLst>
        </c:ser>
        <c:ser>
          <c:idx val="7"/>
          <c:order val="7"/>
          <c:tx>
            <c:strRef>
              <c:f>Bar!$I$1</c:f>
              <c:strCache>
                <c:ptCount val="1"/>
                <c:pt idx="0">
                  <c:v>Death Knight</c:v>
                </c:pt>
              </c:strCache>
            </c:strRef>
          </c:tx>
          <c:spPr>
            <a:ln cmpd="sng">
              <a:solidFill>
                <a:srgbClr val="4D7D90"/>
              </a:solidFill>
            </a:ln>
          </c:spPr>
          <c:marker>
            <c:symbol val="none"/>
          </c:marker>
          <c:cat>
            <c:strRef>
              <c:f>Bar!$A$2:$A$49</c:f>
              <c:strCache>
                <c:ptCount val="7"/>
                <c:pt idx="0">
                  <c:v>Fire_resistance</c:v>
                </c:pt>
                <c:pt idx="1">
                  <c:v>Frost_resistance</c:v>
                </c:pt>
                <c:pt idx="2">
                  <c:v>Arcane_resistance</c:v>
                </c:pt>
                <c:pt idx="3">
                  <c:v>Shadow_resistance</c:v>
                </c:pt>
                <c:pt idx="4">
                  <c:v>Death_resistance</c:v>
                </c:pt>
                <c:pt idx="5">
                  <c:v>Poison_resistance</c:v>
                </c:pt>
                <c:pt idx="6">
                  <c:v>Nature_resistance</c:v>
                </c:pt>
              </c:strCache>
            </c:strRef>
          </c:cat>
          <c:val>
            <c:numRef>
              <c:f>Bar!$I$2:$I$49</c:f>
              <c:numCache>
                <c:formatCode>General</c:formatCode>
                <c:ptCount val="48"/>
                <c:pt idx="0">
                  <c:v>25</c:v>
                </c:pt>
                <c:pt idx="1">
                  <c:v>40</c:v>
                </c:pt>
                <c:pt idx="2">
                  <c:v>25</c:v>
                </c:pt>
                <c:pt idx="3">
                  <c:v>35</c:v>
                </c:pt>
                <c:pt idx="4">
                  <c:v>40</c:v>
                </c:pt>
                <c:pt idx="5">
                  <c:v>30</c:v>
                </c:pt>
                <c:pt idx="6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DB3-484A-A573-B2E7499A3DFF}"/>
            </c:ext>
          </c:extLst>
        </c:ser>
        <c:ser>
          <c:idx val="8"/>
          <c:order val="8"/>
          <c:tx>
            <c:strRef>
              <c:f>Bar!$J$1</c:f>
              <c:strCache>
                <c:ptCount val="1"/>
                <c:pt idx="0">
                  <c:v>Mage_Arcane</c:v>
                </c:pt>
              </c:strCache>
            </c:strRef>
          </c:tx>
          <c:spPr>
            <a:ln cmpd="sng">
              <a:solidFill>
                <a:srgbClr val="FF9A6F"/>
              </a:solidFill>
            </a:ln>
          </c:spPr>
          <c:marker>
            <c:symbol val="none"/>
          </c:marker>
          <c:cat>
            <c:strRef>
              <c:f>Bar!$A$2:$A$49</c:f>
              <c:strCache>
                <c:ptCount val="7"/>
                <c:pt idx="0">
                  <c:v>Fire_resistance</c:v>
                </c:pt>
                <c:pt idx="1">
                  <c:v>Frost_resistance</c:v>
                </c:pt>
                <c:pt idx="2">
                  <c:v>Arcane_resistance</c:v>
                </c:pt>
                <c:pt idx="3">
                  <c:v>Shadow_resistance</c:v>
                </c:pt>
                <c:pt idx="4">
                  <c:v>Death_resistance</c:v>
                </c:pt>
                <c:pt idx="5">
                  <c:v>Poison_resistance</c:v>
                </c:pt>
                <c:pt idx="6">
                  <c:v>Nature_resistance</c:v>
                </c:pt>
              </c:strCache>
            </c:strRef>
          </c:cat>
          <c:val>
            <c:numRef>
              <c:f>Bar!$J$2:$J$49</c:f>
              <c:numCache>
                <c:formatCode>General</c:formatCode>
                <c:ptCount val="48"/>
                <c:pt idx="0">
                  <c:v>35</c:v>
                </c:pt>
                <c:pt idx="1">
                  <c:v>35</c:v>
                </c:pt>
                <c:pt idx="2">
                  <c:v>50</c:v>
                </c:pt>
                <c:pt idx="3">
                  <c:v>35</c:v>
                </c:pt>
                <c:pt idx="4">
                  <c:v>30</c:v>
                </c:pt>
                <c:pt idx="5">
                  <c:v>25</c:v>
                </c:pt>
                <c:pt idx="6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DB3-484A-A573-B2E7499A3DFF}"/>
            </c:ext>
          </c:extLst>
        </c:ser>
        <c:ser>
          <c:idx val="9"/>
          <c:order val="9"/>
          <c:tx>
            <c:strRef>
              <c:f>Bar!$K$1</c:f>
              <c:strCache>
                <c:ptCount val="1"/>
                <c:pt idx="0">
                  <c:v>Mage_Fire</c:v>
                </c:pt>
              </c:strCache>
            </c:strRef>
          </c:tx>
          <c:spPr>
            <a:ln cmpd="sng">
              <a:solidFill>
                <a:srgbClr val="609FAA"/>
              </a:solidFill>
            </a:ln>
          </c:spPr>
          <c:marker>
            <c:symbol val="none"/>
          </c:marker>
          <c:cat>
            <c:strRef>
              <c:f>Bar!$A$2:$A$49</c:f>
              <c:strCache>
                <c:ptCount val="7"/>
                <c:pt idx="0">
                  <c:v>Fire_resistance</c:v>
                </c:pt>
                <c:pt idx="1">
                  <c:v>Frost_resistance</c:v>
                </c:pt>
                <c:pt idx="2">
                  <c:v>Arcane_resistance</c:v>
                </c:pt>
                <c:pt idx="3">
                  <c:v>Shadow_resistance</c:v>
                </c:pt>
                <c:pt idx="4">
                  <c:v>Death_resistance</c:v>
                </c:pt>
                <c:pt idx="5">
                  <c:v>Poison_resistance</c:v>
                </c:pt>
                <c:pt idx="6">
                  <c:v>Nature_resistance</c:v>
                </c:pt>
              </c:strCache>
            </c:strRef>
          </c:cat>
          <c:val>
            <c:numRef>
              <c:f>Bar!$K$2:$K$49</c:f>
              <c:numCache>
                <c:formatCode>General</c:formatCode>
                <c:ptCount val="48"/>
                <c:pt idx="0">
                  <c:v>50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30</c:v>
                </c:pt>
                <c:pt idx="5">
                  <c:v>25</c:v>
                </c:pt>
                <c:pt idx="6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DB3-484A-A573-B2E7499A3DFF}"/>
            </c:ext>
          </c:extLst>
        </c:ser>
        <c:ser>
          <c:idx val="10"/>
          <c:order val="10"/>
          <c:tx>
            <c:strRef>
              <c:f>Bar!$L$1</c:f>
              <c:strCache>
                <c:ptCount val="1"/>
                <c:pt idx="0">
                  <c:v>Mage_Frost</c:v>
                </c:pt>
              </c:strCache>
            </c:strRef>
          </c:tx>
          <c:spPr>
            <a:ln cmpd="sng">
              <a:solidFill>
                <a:srgbClr val="577DC2"/>
              </a:solidFill>
            </a:ln>
          </c:spPr>
          <c:marker>
            <c:symbol val="none"/>
          </c:marker>
          <c:cat>
            <c:strRef>
              <c:f>Bar!$A$2:$A$49</c:f>
              <c:strCache>
                <c:ptCount val="7"/>
                <c:pt idx="0">
                  <c:v>Fire_resistance</c:v>
                </c:pt>
                <c:pt idx="1">
                  <c:v>Frost_resistance</c:v>
                </c:pt>
                <c:pt idx="2">
                  <c:v>Arcane_resistance</c:v>
                </c:pt>
                <c:pt idx="3">
                  <c:v>Shadow_resistance</c:v>
                </c:pt>
                <c:pt idx="4">
                  <c:v>Death_resistance</c:v>
                </c:pt>
                <c:pt idx="5">
                  <c:v>Poison_resistance</c:v>
                </c:pt>
                <c:pt idx="6">
                  <c:v>Nature_resistance</c:v>
                </c:pt>
              </c:strCache>
            </c:strRef>
          </c:cat>
          <c:val>
            <c:numRef>
              <c:f>Bar!$L$2:$L$49</c:f>
              <c:numCache>
                <c:formatCode>General</c:formatCode>
                <c:ptCount val="48"/>
                <c:pt idx="0">
                  <c:v>35</c:v>
                </c:pt>
                <c:pt idx="1">
                  <c:v>50</c:v>
                </c:pt>
                <c:pt idx="2">
                  <c:v>35</c:v>
                </c:pt>
                <c:pt idx="3">
                  <c:v>35</c:v>
                </c:pt>
                <c:pt idx="4">
                  <c:v>30</c:v>
                </c:pt>
                <c:pt idx="5">
                  <c:v>25</c:v>
                </c:pt>
                <c:pt idx="6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DB3-484A-A573-B2E7499A3DFF}"/>
            </c:ext>
          </c:extLst>
        </c:ser>
        <c:ser>
          <c:idx val="11"/>
          <c:order val="11"/>
          <c:tx>
            <c:strRef>
              <c:f>Bar!$M$1</c:f>
              <c:strCache>
                <c:ptCount val="1"/>
                <c:pt idx="0">
                  <c:v>Mage_Water</c:v>
                </c:pt>
              </c:strCache>
            </c:strRef>
          </c:tx>
          <c:spPr>
            <a:ln cmpd="sng">
              <a:solidFill>
                <a:srgbClr val="82E7AE"/>
              </a:solidFill>
            </a:ln>
          </c:spPr>
          <c:marker>
            <c:symbol val="none"/>
          </c:marker>
          <c:cat>
            <c:strRef>
              <c:f>Bar!$A$2:$A$49</c:f>
              <c:strCache>
                <c:ptCount val="7"/>
                <c:pt idx="0">
                  <c:v>Fire_resistance</c:v>
                </c:pt>
                <c:pt idx="1">
                  <c:v>Frost_resistance</c:v>
                </c:pt>
                <c:pt idx="2">
                  <c:v>Arcane_resistance</c:v>
                </c:pt>
                <c:pt idx="3">
                  <c:v>Shadow_resistance</c:v>
                </c:pt>
                <c:pt idx="4">
                  <c:v>Death_resistance</c:v>
                </c:pt>
                <c:pt idx="5">
                  <c:v>Poison_resistance</c:v>
                </c:pt>
                <c:pt idx="6">
                  <c:v>Nature_resistance</c:v>
                </c:pt>
              </c:strCache>
            </c:strRef>
          </c:cat>
          <c:val>
            <c:numRef>
              <c:f>Bar!$M$2:$M$49</c:f>
              <c:numCache>
                <c:formatCode>General</c:formatCode>
                <c:ptCount val="48"/>
                <c:pt idx="0">
                  <c:v>35</c:v>
                </c:pt>
                <c:pt idx="1">
                  <c:v>35</c:v>
                </c:pt>
                <c:pt idx="2">
                  <c:v>25</c:v>
                </c:pt>
                <c:pt idx="3">
                  <c:v>35</c:v>
                </c:pt>
                <c:pt idx="4">
                  <c:v>30</c:v>
                </c:pt>
                <c:pt idx="5">
                  <c:v>25</c:v>
                </c:pt>
                <c:pt idx="6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DB3-484A-A573-B2E7499A3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336876"/>
        <c:axId val="169285988"/>
      </c:radarChart>
      <c:catAx>
        <c:axId val="3423368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A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9285988"/>
        <c:crosses val="autoZero"/>
        <c:auto val="1"/>
        <c:lblAlgn val="ctr"/>
        <c:lblOffset val="100"/>
        <c:noMultiLvlLbl val="1"/>
      </c:catAx>
      <c:valAx>
        <c:axId val="1692859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A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42336876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layout>
        <c:manualLayout>
          <c:xMode val="edge"/>
          <c:yMode val="edge"/>
          <c:x val="0.77142100000000002"/>
          <c:y val="0.19508700000000001"/>
        </c:manualLayout>
      </c:layout>
      <c:overlay val="0"/>
      <c:txPr>
        <a:bodyPr/>
        <a:lstStyle/>
        <a:p>
          <a:pPr lvl="0">
            <a:defRPr sz="1000" b="0" i="0">
              <a:solidFill>
                <a:srgbClr val="1A1A1A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771525</xdr:colOff>
      <xdr:row>10</xdr:row>
      <xdr:rowOff>57150</xdr:rowOff>
    </xdr:from>
    <xdr:ext cx="4991100" cy="3514725"/>
    <xdr:graphicFrame macro="">
      <xdr:nvGraphicFramePr>
        <xdr:cNvPr id="745786745" name="Chart 1">
          <a:extLst>
            <a:ext uri="{FF2B5EF4-FFF2-40B4-BE49-F238E27FC236}">
              <a16:creationId xmlns:a16="http://schemas.microsoft.com/office/drawing/2014/main" id="{00000000-0008-0000-0000-000079CD73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/>
  </sheetViews>
  <sheetFormatPr defaultColWidth="12.6640625" defaultRowHeight="15" customHeight="1" x14ac:dyDescent="0.25"/>
  <cols>
    <col min="1" max="1" width="18.33203125" customWidth="1"/>
    <col min="2" max="7" width="12.6640625" customWidth="1"/>
    <col min="8" max="8" width="14.44140625" customWidth="1"/>
    <col min="9" max="26" width="12.6640625" customWidth="1"/>
  </cols>
  <sheetData>
    <row r="1" spans="1:26" ht="15.75" customHeight="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4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7"/>
    </row>
    <row r="2" spans="1:26" ht="15.75" customHeight="1" x14ac:dyDescent="0.25">
      <c r="A2" s="8" t="s">
        <v>12</v>
      </c>
      <c r="B2" s="9">
        <f>'Resistance List'!B4</f>
        <v>25</v>
      </c>
      <c r="C2" s="9">
        <f>'Resistance List'!J4</f>
        <v>32</v>
      </c>
      <c r="D2" s="9">
        <f>'Resistance List'!M4</f>
        <v>20</v>
      </c>
      <c r="E2" s="9">
        <f>'Resistance List'!O4</f>
        <v>20</v>
      </c>
      <c r="F2" s="9">
        <f>'Resistance List'!P4</f>
        <v>37</v>
      </c>
      <c r="G2" s="9">
        <f>'Resistance List'!U4</f>
        <v>30</v>
      </c>
      <c r="H2" s="9">
        <f>'Resistance List'!X4</f>
        <v>45</v>
      </c>
      <c r="I2" s="9">
        <f>'Resistance List'!AA4</f>
        <v>25</v>
      </c>
      <c r="J2" s="9">
        <f>'Resistance List'!AD4</f>
        <v>35</v>
      </c>
      <c r="K2" s="9">
        <f>'Resistance List'!AE4</f>
        <v>50</v>
      </c>
      <c r="L2" s="9">
        <f>'Resistance List'!AF4</f>
        <v>35</v>
      </c>
      <c r="M2" s="9">
        <f>'Resistance List'!AG4</f>
        <v>35</v>
      </c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1"/>
    </row>
    <row r="3" spans="1:26" ht="15.75" customHeight="1" x14ac:dyDescent="0.25">
      <c r="A3" s="8" t="s">
        <v>13</v>
      </c>
      <c r="B3" s="9">
        <f>'Resistance List'!B7</f>
        <v>25</v>
      </c>
      <c r="C3" s="9">
        <f>'Resistance List'!J7</f>
        <v>32</v>
      </c>
      <c r="D3" s="9">
        <f>'Resistance List'!M7</f>
        <v>20</v>
      </c>
      <c r="E3" s="9">
        <f>'Resistance List'!O7</f>
        <v>20</v>
      </c>
      <c r="F3" s="9">
        <f>'Resistance List'!P7</f>
        <v>37</v>
      </c>
      <c r="G3" s="9">
        <f>'Resistance List'!U7</f>
        <v>30</v>
      </c>
      <c r="H3" s="9">
        <f>'Resistance List'!X7</f>
        <v>20</v>
      </c>
      <c r="I3" s="9">
        <f>'Resistance List'!AA7</f>
        <v>40</v>
      </c>
      <c r="J3" s="9">
        <f>'Resistance List'!AD7</f>
        <v>35</v>
      </c>
      <c r="K3" s="9">
        <f>'Resistance List'!AE7</f>
        <v>35</v>
      </c>
      <c r="L3" s="9">
        <f>'Resistance List'!AF7</f>
        <v>50</v>
      </c>
      <c r="M3" s="9">
        <f>'Resistance List'!AG7</f>
        <v>35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1"/>
    </row>
    <row r="4" spans="1:26" ht="15.75" customHeight="1" x14ac:dyDescent="0.25">
      <c r="A4" s="8" t="s">
        <v>14</v>
      </c>
      <c r="B4" s="9">
        <f>'Resistance List'!B10</f>
        <v>25</v>
      </c>
      <c r="C4" s="9">
        <f>'Resistance List'!J10</f>
        <v>32</v>
      </c>
      <c r="D4" s="9">
        <f>'Resistance List'!M10</f>
        <v>20</v>
      </c>
      <c r="E4" s="9">
        <f>'Resistance List'!O10</f>
        <v>20</v>
      </c>
      <c r="F4" s="9">
        <f>'Resistance List'!P10</f>
        <v>37</v>
      </c>
      <c r="G4" s="9">
        <f>'Resistance List'!U10</f>
        <v>25</v>
      </c>
      <c r="H4" s="9">
        <f>'Resistance List'!X10</f>
        <v>25</v>
      </c>
      <c r="I4" s="9">
        <f>'Resistance List'!AA10</f>
        <v>25</v>
      </c>
      <c r="J4" s="9">
        <f>'Resistance List'!AD10</f>
        <v>50</v>
      </c>
      <c r="K4" s="9">
        <f>'Resistance List'!AE10</f>
        <v>35</v>
      </c>
      <c r="L4" s="9">
        <f>'Resistance List'!AF10</f>
        <v>35</v>
      </c>
      <c r="M4" s="9">
        <f>'Resistance List'!AG10</f>
        <v>25</v>
      </c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1"/>
    </row>
    <row r="5" spans="1:26" ht="15.75" customHeight="1" x14ac:dyDescent="0.25">
      <c r="A5" s="8" t="s">
        <v>15</v>
      </c>
      <c r="B5" s="9">
        <f>'Resistance List'!B13</f>
        <v>25</v>
      </c>
      <c r="C5" s="9">
        <f>'Resistance List'!J13</f>
        <v>35</v>
      </c>
      <c r="D5" s="9">
        <f>'Resistance List'!M13</f>
        <v>20</v>
      </c>
      <c r="E5" s="9">
        <f>'Resistance List'!O13</f>
        <v>20</v>
      </c>
      <c r="F5" s="9">
        <f>'Resistance List'!P13</f>
        <v>45</v>
      </c>
      <c r="G5" s="9">
        <f>'Resistance List'!U13</f>
        <v>40</v>
      </c>
      <c r="H5" s="9">
        <f>'Resistance List'!X13</f>
        <v>45</v>
      </c>
      <c r="I5" s="9">
        <f>'Resistance List'!AA13</f>
        <v>35</v>
      </c>
      <c r="J5" s="9">
        <f>'Resistance List'!AD13</f>
        <v>35</v>
      </c>
      <c r="K5" s="9">
        <f>'Resistance List'!AE13</f>
        <v>35</v>
      </c>
      <c r="L5" s="9">
        <f>'Resistance List'!AF13</f>
        <v>35</v>
      </c>
      <c r="M5" s="9">
        <f>'Resistance List'!AG13</f>
        <v>35</v>
      </c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1"/>
    </row>
    <row r="6" spans="1:26" ht="15.75" customHeight="1" x14ac:dyDescent="0.25">
      <c r="A6" s="8" t="s">
        <v>16</v>
      </c>
      <c r="B6" s="9">
        <f>'Resistance List'!B16</f>
        <v>25</v>
      </c>
      <c r="C6" s="9">
        <f>'Resistance List'!J16</f>
        <v>35</v>
      </c>
      <c r="D6" s="9">
        <f>'Resistance List'!M16</f>
        <v>20</v>
      </c>
      <c r="E6" s="9">
        <f>'Resistance List'!O16</f>
        <v>20</v>
      </c>
      <c r="F6" s="9">
        <f>'Resistance List'!P16</f>
        <v>45</v>
      </c>
      <c r="G6" s="9">
        <f>'Resistance List'!U16</f>
        <v>50</v>
      </c>
      <c r="H6" s="9">
        <f>'Resistance List'!X16</f>
        <v>35</v>
      </c>
      <c r="I6" s="9">
        <f>'Resistance List'!AA16</f>
        <v>40</v>
      </c>
      <c r="J6" s="9">
        <f>'Resistance List'!AD16</f>
        <v>30</v>
      </c>
      <c r="K6" s="9">
        <f>'Resistance List'!AE16</f>
        <v>30</v>
      </c>
      <c r="L6" s="9">
        <f>'Resistance List'!AF16</f>
        <v>30</v>
      </c>
      <c r="M6" s="9">
        <f>'Resistance List'!AG16</f>
        <v>30</v>
      </c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1"/>
    </row>
    <row r="7" spans="1:26" ht="15.75" customHeight="1" x14ac:dyDescent="0.25">
      <c r="A7" s="8" t="s">
        <v>17</v>
      </c>
      <c r="B7" s="9">
        <f>'Resistance List'!B19</f>
        <v>25</v>
      </c>
      <c r="C7" s="9">
        <f>'Resistance List'!J19</f>
        <v>25</v>
      </c>
      <c r="D7" s="9">
        <f>'Resistance List'!M19</f>
        <v>45</v>
      </c>
      <c r="E7" s="9">
        <f>'Resistance List'!O19</f>
        <v>45</v>
      </c>
      <c r="F7" s="9">
        <f>'Resistance List'!P19</f>
        <v>25</v>
      </c>
      <c r="G7" s="9">
        <f>'Resistance List'!U19</f>
        <v>40</v>
      </c>
      <c r="H7" s="9">
        <f>'Resistance List'!X19</f>
        <v>40</v>
      </c>
      <c r="I7" s="9">
        <f>'Resistance List'!AA19</f>
        <v>30</v>
      </c>
      <c r="J7" s="9">
        <f>'Resistance List'!AD19</f>
        <v>25</v>
      </c>
      <c r="K7" s="9">
        <f>'Resistance List'!AE19</f>
        <v>25</v>
      </c>
      <c r="L7" s="9">
        <f>'Resistance List'!AF19</f>
        <v>25</v>
      </c>
      <c r="M7" s="9">
        <f>'Resistance List'!AG19</f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1"/>
    </row>
    <row r="8" spans="1:26" ht="15.75" customHeight="1" x14ac:dyDescent="0.25">
      <c r="A8" s="8" t="s">
        <v>18</v>
      </c>
      <c r="B8" s="9">
        <f>'Resistance List'!B22</f>
        <v>25</v>
      </c>
      <c r="C8" s="9">
        <f>'Resistance List'!J22</f>
        <v>25</v>
      </c>
      <c r="D8" s="9">
        <f>'Resistance List'!M22</f>
        <v>25</v>
      </c>
      <c r="E8" s="9">
        <f>'Resistance List'!O22</f>
        <v>25</v>
      </c>
      <c r="F8" s="9">
        <f>'Resistance List'!P22</f>
        <v>30</v>
      </c>
      <c r="G8" s="9">
        <f>'Resistance List'!U22</f>
        <v>25</v>
      </c>
      <c r="H8" s="9">
        <f>'Resistance List'!X22</f>
        <v>30</v>
      </c>
      <c r="I8" s="9">
        <f>'Resistance List'!AA22</f>
        <v>25</v>
      </c>
      <c r="J8" s="9">
        <f>'Resistance List'!AD22</f>
        <v>25</v>
      </c>
      <c r="K8" s="9">
        <f>'Resistance List'!AE22</f>
        <v>25</v>
      </c>
      <c r="L8" s="9">
        <f>'Resistance List'!AF22</f>
        <v>25</v>
      </c>
      <c r="M8" s="9">
        <f>'Resistance List'!AG22</f>
        <v>50</v>
      </c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1"/>
    </row>
    <row r="9" spans="1:26" ht="15.75" customHeight="1" x14ac:dyDescent="0.25">
      <c r="A9" s="12"/>
      <c r="B9" s="13"/>
      <c r="C9" s="13"/>
      <c r="D9" s="13"/>
      <c r="E9" s="13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1"/>
    </row>
    <row r="10" spans="1:26" ht="15.75" customHeight="1" x14ac:dyDescent="0.25">
      <c r="A10" s="12"/>
      <c r="B10" s="13"/>
      <c r="C10" s="13"/>
      <c r="D10" s="13"/>
      <c r="E10" s="13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1"/>
    </row>
    <row r="11" spans="1:26" ht="15.75" customHeight="1" x14ac:dyDescent="0.25">
      <c r="A11" s="12"/>
      <c r="B11" s="13"/>
      <c r="C11" s="13"/>
      <c r="D11" s="13"/>
      <c r="E11" s="13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1"/>
    </row>
    <row r="12" spans="1:26" ht="15.75" customHeight="1" x14ac:dyDescent="0.25">
      <c r="A12" s="12"/>
      <c r="B12" s="13"/>
      <c r="C12" s="13"/>
      <c r="D12" s="13"/>
      <c r="E12" s="13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1"/>
    </row>
    <row r="13" spans="1:26" ht="15.75" customHeight="1" x14ac:dyDescent="0.25">
      <c r="A13" s="12"/>
      <c r="B13" s="13"/>
      <c r="C13" s="13"/>
      <c r="D13" s="13"/>
      <c r="E13" s="13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1"/>
    </row>
    <row r="14" spans="1:26" ht="15.75" customHeight="1" x14ac:dyDescent="0.25">
      <c r="A14" s="12"/>
      <c r="B14" s="13"/>
      <c r="C14" s="13"/>
      <c r="D14" s="13"/>
      <c r="E14" s="13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1"/>
    </row>
    <row r="15" spans="1:26" ht="15.75" customHeight="1" x14ac:dyDescent="0.25">
      <c r="A15" s="12"/>
      <c r="B15" s="13"/>
      <c r="C15" s="13"/>
      <c r="D15" s="13"/>
      <c r="E15" s="13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1"/>
    </row>
    <row r="16" spans="1:26" ht="15.75" customHeight="1" x14ac:dyDescent="0.25">
      <c r="A16" s="12"/>
      <c r="B16" s="13"/>
      <c r="C16" s="13"/>
      <c r="D16" s="13"/>
      <c r="E16" s="13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1"/>
    </row>
    <row r="17" spans="1:26" ht="15.75" customHeight="1" x14ac:dyDescent="0.25">
      <c r="A17" s="12"/>
      <c r="B17" s="13"/>
      <c r="C17" s="13"/>
      <c r="D17" s="13"/>
      <c r="E17" s="13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1"/>
    </row>
    <row r="18" spans="1:26" ht="15.75" customHeight="1" x14ac:dyDescent="0.25">
      <c r="A18" s="12"/>
      <c r="B18" s="13"/>
      <c r="C18" s="13"/>
      <c r="D18" s="13"/>
      <c r="E18" s="13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1"/>
    </row>
    <row r="19" spans="1:26" ht="15.75" customHeight="1" x14ac:dyDescent="0.25">
      <c r="A19" s="12"/>
      <c r="B19" s="13"/>
      <c r="C19" s="13"/>
      <c r="D19" s="13"/>
      <c r="E19" s="13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1"/>
    </row>
    <row r="20" spans="1:26" ht="15.75" customHeight="1" x14ac:dyDescent="0.25">
      <c r="A20" s="12"/>
      <c r="B20" s="13"/>
      <c r="C20" s="13"/>
      <c r="D20" s="13"/>
      <c r="E20" s="13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1"/>
    </row>
    <row r="21" spans="1:26" ht="15.75" customHeight="1" x14ac:dyDescent="0.25">
      <c r="A21" s="12"/>
      <c r="B21" s="13"/>
      <c r="C21" s="13"/>
      <c r="D21" s="13"/>
      <c r="E21" s="13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1"/>
    </row>
    <row r="22" spans="1:26" ht="15.75" customHeight="1" x14ac:dyDescent="0.25">
      <c r="A22" s="12"/>
      <c r="B22" s="13"/>
      <c r="C22" s="13"/>
      <c r="D22" s="13"/>
      <c r="E22" s="13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1"/>
    </row>
    <row r="23" spans="1:26" ht="15.75" customHeight="1" x14ac:dyDescent="0.25">
      <c r="A23" s="12"/>
      <c r="B23" s="13"/>
      <c r="C23" s="13"/>
      <c r="D23" s="13"/>
      <c r="E23" s="13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1"/>
    </row>
    <row r="24" spans="1:26" ht="15.75" customHeight="1" x14ac:dyDescent="0.25">
      <c r="A24" s="12"/>
      <c r="B24" s="13"/>
      <c r="C24" s="13"/>
      <c r="D24" s="13"/>
      <c r="E24" s="13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1"/>
    </row>
    <row r="25" spans="1:26" ht="15.75" customHeight="1" x14ac:dyDescent="0.25">
      <c r="A25" s="12"/>
      <c r="B25" s="13"/>
      <c r="C25" s="13"/>
      <c r="D25" s="13"/>
      <c r="E25" s="13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1"/>
    </row>
    <row r="26" spans="1:26" ht="15.75" customHeight="1" x14ac:dyDescent="0.25">
      <c r="A26" s="12"/>
      <c r="B26" s="13"/>
      <c r="C26" s="13"/>
      <c r="D26" s="13"/>
      <c r="E26" s="13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1"/>
    </row>
    <row r="27" spans="1:26" ht="14.25" customHeight="1" x14ac:dyDescent="0.25">
      <c r="A27" s="12"/>
      <c r="B27" s="13"/>
      <c r="C27" s="13"/>
      <c r="D27" s="13"/>
      <c r="E27" s="13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1"/>
    </row>
    <row r="28" spans="1:26" ht="14.25" customHeight="1" x14ac:dyDescent="0.25">
      <c r="A28" s="12"/>
      <c r="B28" s="13"/>
      <c r="C28" s="13"/>
      <c r="D28" s="13"/>
      <c r="E28" s="13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1"/>
    </row>
    <row r="29" spans="1:26" ht="14.25" customHeight="1" x14ac:dyDescent="0.25">
      <c r="A29" s="12"/>
      <c r="B29" s="13"/>
      <c r="C29" s="13"/>
      <c r="D29" s="13"/>
      <c r="E29" s="13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1"/>
    </row>
    <row r="30" spans="1:26" ht="14.25" customHeight="1" x14ac:dyDescent="0.25">
      <c r="A30" s="12"/>
      <c r="B30" s="13"/>
      <c r="C30" s="13"/>
      <c r="D30" s="13"/>
      <c r="E30" s="13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1"/>
    </row>
    <row r="31" spans="1:26" ht="14.25" customHeight="1" x14ac:dyDescent="0.25">
      <c r="A31" s="12"/>
      <c r="B31" s="13"/>
      <c r="C31" s="13"/>
      <c r="D31" s="13"/>
      <c r="E31" s="13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1"/>
    </row>
    <row r="32" spans="1:26" ht="14.25" customHeight="1" x14ac:dyDescent="0.25">
      <c r="A32" s="12"/>
      <c r="B32" s="13"/>
      <c r="C32" s="13"/>
      <c r="D32" s="13"/>
      <c r="E32" s="13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1"/>
    </row>
    <row r="33" spans="1:26" ht="14.25" customHeight="1" x14ac:dyDescent="0.25">
      <c r="A33" s="12"/>
      <c r="B33" s="13"/>
      <c r="C33" s="13"/>
      <c r="D33" s="13"/>
      <c r="E33" s="13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1"/>
    </row>
    <row r="34" spans="1:26" ht="14.25" customHeight="1" x14ac:dyDescent="0.25">
      <c r="A34" s="12"/>
      <c r="B34" s="13"/>
      <c r="C34" s="13"/>
      <c r="D34" s="13"/>
      <c r="E34" s="13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1"/>
    </row>
    <row r="35" spans="1:26" ht="14.25" customHeight="1" x14ac:dyDescent="0.25">
      <c r="A35" s="12"/>
      <c r="B35" s="13"/>
      <c r="C35" s="13"/>
      <c r="D35" s="13"/>
      <c r="E35" s="13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1"/>
    </row>
    <row r="36" spans="1:26" ht="14.25" customHeight="1" x14ac:dyDescent="0.25">
      <c r="A36" s="12"/>
      <c r="B36" s="13"/>
      <c r="C36" s="13"/>
      <c r="D36" s="13"/>
      <c r="E36" s="13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1"/>
    </row>
    <row r="37" spans="1:26" ht="14.25" customHeight="1" x14ac:dyDescent="0.25">
      <c r="A37" s="12"/>
      <c r="B37" s="13"/>
      <c r="C37" s="13"/>
      <c r="D37" s="13"/>
      <c r="E37" s="13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1"/>
    </row>
    <row r="38" spans="1:26" ht="14.25" customHeight="1" x14ac:dyDescent="0.25">
      <c r="A38" s="12"/>
      <c r="B38" s="13"/>
      <c r="C38" s="13"/>
      <c r="D38" s="13"/>
      <c r="E38" s="13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1"/>
    </row>
    <row r="39" spans="1:26" ht="14.25" customHeight="1" x14ac:dyDescent="0.25">
      <c r="A39" s="12"/>
      <c r="B39" s="13"/>
      <c r="C39" s="13"/>
      <c r="D39" s="13"/>
      <c r="E39" s="13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1"/>
    </row>
    <row r="40" spans="1:26" ht="14.25" customHeight="1" x14ac:dyDescent="0.25">
      <c r="A40" s="12"/>
      <c r="B40" s="13"/>
      <c r="C40" s="13"/>
      <c r="D40" s="13"/>
      <c r="E40" s="13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1"/>
    </row>
    <row r="41" spans="1:26" ht="14.25" customHeight="1" x14ac:dyDescent="0.25">
      <c r="A41" s="12"/>
      <c r="B41" s="13"/>
      <c r="C41" s="13"/>
      <c r="D41" s="13"/>
      <c r="E41" s="13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1"/>
    </row>
    <row r="42" spans="1:26" ht="14.25" customHeight="1" x14ac:dyDescent="0.25">
      <c r="A42" s="12"/>
      <c r="B42" s="13"/>
      <c r="C42" s="13"/>
      <c r="D42" s="13"/>
      <c r="E42" s="13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1"/>
    </row>
    <row r="43" spans="1:26" ht="14.25" customHeight="1" x14ac:dyDescent="0.25">
      <c r="A43" s="12"/>
      <c r="B43" s="13"/>
      <c r="C43" s="13"/>
      <c r="D43" s="13"/>
      <c r="E43" s="13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1"/>
    </row>
    <row r="44" spans="1:26" ht="14.25" customHeight="1" x14ac:dyDescent="0.25">
      <c r="A44" s="12"/>
      <c r="B44" s="13"/>
      <c r="C44" s="13"/>
      <c r="D44" s="13"/>
      <c r="E44" s="13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1"/>
    </row>
    <row r="45" spans="1:26" ht="14.25" customHeight="1" x14ac:dyDescent="0.25">
      <c r="A45" s="12"/>
      <c r="B45" s="13"/>
      <c r="C45" s="13"/>
      <c r="D45" s="13"/>
      <c r="E45" s="13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1"/>
    </row>
    <row r="46" spans="1:26" ht="14.25" customHeight="1" x14ac:dyDescent="0.25">
      <c r="A46" s="12"/>
      <c r="B46" s="13"/>
      <c r="C46" s="13"/>
      <c r="D46" s="13"/>
      <c r="E46" s="13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1"/>
    </row>
    <row r="47" spans="1:26" ht="14.25" customHeight="1" x14ac:dyDescent="0.25">
      <c r="A47" s="12"/>
      <c r="B47" s="13"/>
      <c r="C47" s="13"/>
      <c r="D47" s="13"/>
      <c r="E47" s="13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1"/>
    </row>
    <row r="48" spans="1:26" ht="14.25" customHeight="1" x14ac:dyDescent="0.25">
      <c r="A48" s="12"/>
      <c r="B48" s="13"/>
      <c r="C48" s="13"/>
      <c r="D48" s="13"/>
      <c r="E48" s="13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1"/>
    </row>
    <row r="49" spans="1:26" ht="14.25" customHeight="1" x14ac:dyDescent="0.25">
      <c r="A49" s="12"/>
      <c r="B49" s="13"/>
      <c r="C49" s="13"/>
      <c r="D49" s="13"/>
      <c r="E49" s="13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1"/>
    </row>
    <row r="50" spans="1:26" ht="14.25" customHeight="1" x14ac:dyDescent="0.25">
      <c r="A50" s="12"/>
      <c r="B50" s="13"/>
      <c r="C50" s="13"/>
      <c r="D50" s="13"/>
      <c r="E50" s="13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1"/>
    </row>
    <row r="51" spans="1:26" ht="14.25" customHeight="1" x14ac:dyDescent="0.25">
      <c r="A51" s="12"/>
      <c r="B51" s="13"/>
      <c r="C51" s="13"/>
      <c r="D51" s="13"/>
      <c r="E51" s="13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1"/>
    </row>
    <row r="52" spans="1:26" ht="14.25" customHeight="1" x14ac:dyDescent="0.25">
      <c r="A52" s="12"/>
      <c r="B52" s="13"/>
      <c r="C52" s="13"/>
      <c r="D52" s="13"/>
      <c r="E52" s="13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1"/>
    </row>
    <row r="53" spans="1:26" ht="14.25" customHeight="1" x14ac:dyDescent="0.25">
      <c r="A53" s="12"/>
      <c r="B53" s="13"/>
      <c r="C53" s="13"/>
      <c r="D53" s="13"/>
      <c r="E53" s="13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1"/>
    </row>
    <row r="54" spans="1:26" ht="14.25" customHeight="1" x14ac:dyDescent="0.25">
      <c r="A54" s="12"/>
      <c r="B54" s="13"/>
      <c r="C54" s="13"/>
      <c r="D54" s="13"/>
      <c r="E54" s="13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1"/>
    </row>
    <row r="55" spans="1:26" ht="14.25" customHeight="1" x14ac:dyDescent="0.25">
      <c r="A55" s="12"/>
      <c r="B55" s="13"/>
      <c r="C55" s="13"/>
      <c r="D55" s="13"/>
      <c r="E55" s="13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1"/>
    </row>
    <row r="56" spans="1:26" ht="14.25" customHeight="1" x14ac:dyDescent="0.25">
      <c r="A56" s="12"/>
      <c r="B56" s="13"/>
      <c r="C56" s="13"/>
      <c r="D56" s="13"/>
      <c r="E56" s="13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1"/>
    </row>
    <row r="57" spans="1:26" ht="14.25" customHeight="1" x14ac:dyDescent="0.25">
      <c r="A57" s="12"/>
      <c r="B57" s="13"/>
      <c r="C57" s="13"/>
      <c r="D57" s="13"/>
      <c r="E57" s="13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1"/>
    </row>
    <row r="58" spans="1:26" ht="14.25" customHeight="1" x14ac:dyDescent="0.25">
      <c r="A58" s="12"/>
      <c r="B58" s="13"/>
      <c r="C58" s="13"/>
      <c r="D58" s="13"/>
      <c r="E58" s="13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1"/>
    </row>
    <row r="59" spans="1:26" ht="14.25" customHeight="1" x14ac:dyDescent="0.25">
      <c r="A59" s="12"/>
      <c r="B59" s="13"/>
      <c r="C59" s="13"/>
      <c r="D59" s="13"/>
      <c r="E59" s="13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1"/>
    </row>
    <row r="60" spans="1:26" ht="14.25" customHeight="1" x14ac:dyDescent="0.25">
      <c r="A60" s="12"/>
      <c r="B60" s="13"/>
      <c r="C60" s="13"/>
      <c r="D60" s="13"/>
      <c r="E60" s="13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1"/>
    </row>
    <row r="61" spans="1:26" ht="14.25" customHeight="1" x14ac:dyDescent="0.25">
      <c r="A61" s="12"/>
      <c r="B61" s="13"/>
      <c r="C61" s="13"/>
      <c r="D61" s="13"/>
      <c r="E61" s="13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1"/>
    </row>
    <row r="62" spans="1:26" ht="14.25" customHeight="1" x14ac:dyDescent="0.25">
      <c r="A62" s="12"/>
      <c r="B62" s="13"/>
      <c r="C62" s="13"/>
      <c r="D62" s="13"/>
      <c r="E62" s="13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1"/>
    </row>
    <row r="63" spans="1:26" ht="14.25" customHeight="1" x14ac:dyDescent="0.25">
      <c r="A63" s="12"/>
      <c r="B63" s="13"/>
      <c r="C63" s="13"/>
      <c r="D63" s="13"/>
      <c r="E63" s="13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1"/>
    </row>
    <row r="64" spans="1:26" ht="14.25" customHeight="1" x14ac:dyDescent="0.25">
      <c r="A64" s="12"/>
      <c r="B64" s="13"/>
      <c r="C64" s="13"/>
      <c r="D64" s="13"/>
      <c r="E64" s="13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1"/>
    </row>
    <row r="65" spans="1:26" ht="14.25" customHeight="1" x14ac:dyDescent="0.25">
      <c r="A65" s="12"/>
      <c r="B65" s="13"/>
      <c r="C65" s="13"/>
      <c r="D65" s="13"/>
      <c r="E65" s="13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1"/>
    </row>
    <row r="66" spans="1:26" ht="14.25" customHeight="1" x14ac:dyDescent="0.25">
      <c r="A66" s="12"/>
      <c r="B66" s="13"/>
      <c r="C66" s="13"/>
      <c r="D66" s="13"/>
      <c r="E66" s="13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1"/>
    </row>
    <row r="67" spans="1:26" ht="14.25" customHeight="1" x14ac:dyDescent="0.25">
      <c r="A67" s="12"/>
      <c r="B67" s="13"/>
      <c r="C67" s="13"/>
      <c r="D67" s="13"/>
      <c r="E67" s="13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1"/>
    </row>
    <row r="68" spans="1:26" ht="14.25" customHeight="1" x14ac:dyDescent="0.25">
      <c r="A68" s="12"/>
      <c r="B68" s="13"/>
      <c r="C68" s="13"/>
      <c r="D68" s="13"/>
      <c r="E68" s="13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1"/>
    </row>
    <row r="69" spans="1:26" ht="14.25" customHeight="1" x14ac:dyDescent="0.25">
      <c r="A69" s="12"/>
      <c r="B69" s="13"/>
      <c r="C69" s="13"/>
      <c r="D69" s="13"/>
      <c r="E69" s="13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1"/>
    </row>
    <row r="70" spans="1:26" ht="14.25" customHeight="1" x14ac:dyDescent="0.25">
      <c r="A70" s="12"/>
      <c r="B70" s="13"/>
      <c r="C70" s="13"/>
      <c r="D70" s="13"/>
      <c r="E70" s="13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1"/>
    </row>
    <row r="71" spans="1:26" ht="14.25" customHeight="1" x14ac:dyDescent="0.25">
      <c r="A71" s="12"/>
      <c r="B71" s="13"/>
      <c r="C71" s="13"/>
      <c r="D71" s="13"/>
      <c r="E71" s="13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1"/>
    </row>
    <row r="72" spans="1:26" ht="14.25" customHeight="1" x14ac:dyDescent="0.25">
      <c r="A72" s="12"/>
      <c r="B72" s="13"/>
      <c r="C72" s="13"/>
      <c r="D72" s="13"/>
      <c r="E72" s="13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1"/>
    </row>
    <row r="73" spans="1:26" ht="14.25" customHeight="1" x14ac:dyDescent="0.25">
      <c r="A73" s="12"/>
      <c r="B73" s="13"/>
      <c r="C73" s="13"/>
      <c r="D73" s="13"/>
      <c r="E73" s="13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1"/>
    </row>
    <row r="74" spans="1:26" ht="14.25" customHeight="1" x14ac:dyDescent="0.25">
      <c r="A74" s="12"/>
      <c r="B74" s="13"/>
      <c r="C74" s="13"/>
      <c r="D74" s="13"/>
      <c r="E74" s="13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1"/>
    </row>
    <row r="75" spans="1:26" ht="14.25" customHeight="1" x14ac:dyDescent="0.25">
      <c r="A75" s="12"/>
      <c r="B75" s="13"/>
      <c r="C75" s="13"/>
      <c r="D75" s="13"/>
      <c r="E75" s="13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1"/>
    </row>
    <row r="76" spans="1:26" ht="14.25" customHeight="1" x14ac:dyDescent="0.25">
      <c r="A76" s="12"/>
      <c r="B76" s="13"/>
      <c r="C76" s="13"/>
      <c r="D76" s="13"/>
      <c r="E76" s="13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1"/>
    </row>
    <row r="77" spans="1:26" ht="14.25" customHeight="1" x14ac:dyDescent="0.25">
      <c r="A77" s="12"/>
      <c r="B77" s="13"/>
      <c r="C77" s="13"/>
      <c r="D77" s="13"/>
      <c r="E77" s="13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1"/>
    </row>
    <row r="78" spans="1:26" ht="14.25" customHeight="1" x14ac:dyDescent="0.25">
      <c r="A78" s="12"/>
      <c r="B78" s="13"/>
      <c r="C78" s="13"/>
      <c r="D78" s="13"/>
      <c r="E78" s="13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1"/>
    </row>
    <row r="79" spans="1:26" ht="14.25" customHeight="1" x14ac:dyDescent="0.25">
      <c r="A79" s="12"/>
      <c r="B79" s="13"/>
      <c r="C79" s="13"/>
      <c r="D79" s="13"/>
      <c r="E79" s="13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1"/>
    </row>
    <row r="80" spans="1:26" ht="14.25" customHeight="1" x14ac:dyDescent="0.25">
      <c r="A80" s="12"/>
      <c r="B80" s="13"/>
      <c r="C80" s="13"/>
      <c r="D80" s="13"/>
      <c r="E80" s="13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1"/>
    </row>
    <row r="81" spans="1:26" ht="14.25" customHeight="1" x14ac:dyDescent="0.25">
      <c r="A81" s="12"/>
      <c r="B81" s="13"/>
      <c r="C81" s="13"/>
      <c r="D81" s="13"/>
      <c r="E81" s="13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1"/>
    </row>
    <row r="82" spans="1:26" ht="14.25" customHeight="1" x14ac:dyDescent="0.25">
      <c r="A82" s="12"/>
      <c r="B82" s="13"/>
      <c r="C82" s="13"/>
      <c r="D82" s="13"/>
      <c r="E82" s="13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1"/>
    </row>
    <row r="83" spans="1:26" ht="14.25" customHeight="1" x14ac:dyDescent="0.25">
      <c r="A83" s="12"/>
      <c r="B83" s="13"/>
      <c r="C83" s="13"/>
      <c r="D83" s="13"/>
      <c r="E83" s="13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1"/>
    </row>
    <row r="84" spans="1:26" ht="14.25" customHeight="1" x14ac:dyDescent="0.25">
      <c r="A84" s="12"/>
      <c r="B84" s="13"/>
      <c r="C84" s="13"/>
      <c r="D84" s="13"/>
      <c r="E84" s="13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1"/>
    </row>
    <row r="85" spans="1:26" ht="14.25" customHeight="1" x14ac:dyDescent="0.25">
      <c r="A85" s="12"/>
      <c r="B85" s="13"/>
      <c r="C85" s="13"/>
      <c r="D85" s="13"/>
      <c r="E85" s="13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1"/>
    </row>
    <row r="86" spans="1:26" ht="14.25" customHeight="1" x14ac:dyDescent="0.25">
      <c r="A86" s="12"/>
      <c r="B86" s="13"/>
      <c r="C86" s="13"/>
      <c r="D86" s="13"/>
      <c r="E86" s="13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1"/>
    </row>
    <row r="87" spans="1:26" ht="14.25" customHeight="1" x14ac:dyDescent="0.25">
      <c r="A87" s="12"/>
      <c r="B87" s="13"/>
      <c r="C87" s="13"/>
      <c r="D87" s="13"/>
      <c r="E87" s="13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1"/>
    </row>
    <row r="88" spans="1:26" ht="14.25" customHeight="1" x14ac:dyDescent="0.25">
      <c r="A88" s="12"/>
      <c r="B88" s="13"/>
      <c r="C88" s="13"/>
      <c r="D88" s="13"/>
      <c r="E88" s="13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1"/>
    </row>
    <row r="89" spans="1:26" ht="14.25" customHeight="1" x14ac:dyDescent="0.25">
      <c r="A89" s="12"/>
      <c r="B89" s="13"/>
      <c r="C89" s="13"/>
      <c r="D89" s="13"/>
      <c r="E89" s="13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1"/>
    </row>
    <row r="90" spans="1:26" ht="14.25" customHeight="1" x14ac:dyDescent="0.25">
      <c r="A90" s="12"/>
      <c r="B90" s="13"/>
      <c r="C90" s="13"/>
      <c r="D90" s="13"/>
      <c r="E90" s="13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1"/>
    </row>
    <row r="91" spans="1:26" ht="14.25" customHeight="1" x14ac:dyDescent="0.25">
      <c r="A91" s="12"/>
      <c r="B91" s="13"/>
      <c r="C91" s="13"/>
      <c r="D91" s="13"/>
      <c r="E91" s="13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1"/>
    </row>
    <row r="92" spans="1:26" ht="14.25" customHeight="1" x14ac:dyDescent="0.25">
      <c r="A92" s="12"/>
      <c r="B92" s="13"/>
      <c r="C92" s="13"/>
      <c r="D92" s="13"/>
      <c r="E92" s="13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1"/>
    </row>
    <row r="93" spans="1:26" ht="14.25" customHeight="1" x14ac:dyDescent="0.25">
      <c r="A93" s="12"/>
      <c r="B93" s="13"/>
      <c r="C93" s="13"/>
      <c r="D93" s="13"/>
      <c r="E93" s="13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1"/>
    </row>
    <row r="94" spans="1:26" ht="14.25" customHeight="1" x14ac:dyDescent="0.25">
      <c r="A94" s="12"/>
      <c r="B94" s="13"/>
      <c r="C94" s="13"/>
      <c r="D94" s="13"/>
      <c r="E94" s="13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1"/>
    </row>
    <row r="95" spans="1:26" ht="14.25" customHeight="1" x14ac:dyDescent="0.25">
      <c r="A95" s="12"/>
      <c r="B95" s="13"/>
      <c r="C95" s="13"/>
      <c r="D95" s="13"/>
      <c r="E95" s="13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1"/>
    </row>
    <row r="96" spans="1:26" ht="14.25" customHeight="1" x14ac:dyDescent="0.25">
      <c r="A96" s="12"/>
      <c r="B96" s="13"/>
      <c r="C96" s="13"/>
      <c r="D96" s="13"/>
      <c r="E96" s="13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1"/>
    </row>
    <row r="97" spans="1:26" ht="14.25" customHeight="1" x14ac:dyDescent="0.25">
      <c r="A97" s="12"/>
      <c r="B97" s="13"/>
      <c r="C97" s="13"/>
      <c r="D97" s="13"/>
      <c r="E97" s="13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1"/>
    </row>
    <row r="98" spans="1:26" ht="14.25" customHeight="1" x14ac:dyDescent="0.25">
      <c r="A98" s="12"/>
      <c r="B98" s="13"/>
      <c r="C98" s="13"/>
      <c r="D98" s="13"/>
      <c r="E98" s="13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1"/>
    </row>
    <row r="99" spans="1:26" ht="14.25" customHeight="1" x14ac:dyDescent="0.25">
      <c r="A99" s="12"/>
      <c r="B99" s="13"/>
      <c r="C99" s="13"/>
      <c r="D99" s="13"/>
      <c r="E99" s="13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1"/>
    </row>
    <row r="100" spans="1:26" ht="14.25" customHeight="1" x14ac:dyDescent="0.25">
      <c r="A100" s="12"/>
      <c r="B100" s="13"/>
      <c r="C100" s="13"/>
      <c r="D100" s="13"/>
      <c r="E100" s="13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1"/>
    </row>
    <row r="101" spans="1:26" ht="14.25" customHeight="1" x14ac:dyDescent="0.25">
      <c r="A101" s="12"/>
      <c r="B101" s="13"/>
      <c r="C101" s="13"/>
      <c r="D101" s="13"/>
      <c r="E101" s="13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1"/>
    </row>
    <row r="102" spans="1:26" ht="14.25" customHeight="1" x14ac:dyDescent="0.25">
      <c r="A102" s="12"/>
      <c r="B102" s="13"/>
      <c r="C102" s="13"/>
      <c r="D102" s="13"/>
      <c r="E102" s="13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1"/>
    </row>
    <row r="103" spans="1:26" ht="14.25" customHeight="1" x14ac:dyDescent="0.25">
      <c r="A103" s="12"/>
      <c r="B103" s="13"/>
      <c r="C103" s="13"/>
      <c r="D103" s="13"/>
      <c r="E103" s="13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1"/>
    </row>
    <row r="104" spans="1:26" ht="14.25" customHeight="1" x14ac:dyDescent="0.25">
      <c r="A104" s="12"/>
      <c r="B104" s="13"/>
      <c r="C104" s="13"/>
      <c r="D104" s="13"/>
      <c r="E104" s="13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1"/>
    </row>
    <row r="105" spans="1:26" ht="14.25" customHeight="1" x14ac:dyDescent="0.25">
      <c r="A105" s="12"/>
      <c r="B105" s="13"/>
      <c r="C105" s="13"/>
      <c r="D105" s="13"/>
      <c r="E105" s="13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1"/>
    </row>
    <row r="106" spans="1:26" ht="14.25" customHeight="1" x14ac:dyDescent="0.25">
      <c r="A106" s="12"/>
      <c r="B106" s="13"/>
      <c r="C106" s="13"/>
      <c r="D106" s="13"/>
      <c r="E106" s="13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1"/>
    </row>
    <row r="107" spans="1:26" ht="14.25" customHeight="1" x14ac:dyDescent="0.25">
      <c r="A107" s="12"/>
      <c r="B107" s="13"/>
      <c r="C107" s="13"/>
      <c r="D107" s="13"/>
      <c r="E107" s="13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1"/>
    </row>
    <row r="108" spans="1:26" ht="14.25" customHeight="1" x14ac:dyDescent="0.25">
      <c r="A108" s="12"/>
      <c r="B108" s="13"/>
      <c r="C108" s="13"/>
      <c r="D108" s="13"/>
      <c r="E108" s="13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1"/>
    </row>
    <row r="109" spans="1:26" ht="14.25" customHeight="1" x14ac:dyDescent="0.25">
      <c r="A109" s="12"/>
      <c r="B109" s="13"/>
      <c r="C109" s="13"/>
      <c r="D109" s="13"/>
      <c r="E109" s="13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1"/>
    </row>
    <row r="110" spans="1:26" ht="14.25" customHeight="1" x14ac:dyDescent="0.25">
      <c r="A110" s="12"/>
      <c r="B110" s="13"/>
      <c r="C110" s="13"/>
      <c r="D110" s="13"/>
      <c r="E110" s="13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1"/>
    </row>
    <row r="111" spans="1:26" ht="14.25" customHeight="1" x14ac:dyDescent="0.25">
      <c r="A111" s="12"/>
      <c r="B111" s="13"/>
      <c r="C111" s="13"/>
      <c r="D111" s="13"/>
      <c r="E111" s="13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1"/>
    </row>
    <row r="112" spans="1:26" ht="14.25" customHeight="1" x14ac:dyDescent="0.25">
      <c r="A112" s="12"/>
      <c r="B112" s="13"/>
      <c r="C112" s="13"/>
      <c r="D112" s="13"/>
      <c r="E112" s="13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1"/>
    </row>
    <row r="113" spans="1:26" ht="14.25" customHeight="1" x14ac:dyDescent="0.25">
      <c r="A113" s="12"/>
      <c r="B113" s="13"/>
      <c r="C113" s="13"/>
      <c r="D113" s="13"/>
      <c r="E113" s="13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1"/>
    </row>
    <row r="114" spans="1:26" ht="14.25" customHeight="1" x14ac:dyDescent="0.25">
      <c r="A114" s="12"/>
      <c r="B114" s="13"/>
      <c r="C114" s="13"/>
      <c r="D114" s="13"/>
      <c r="E114" s="13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1"/>
    </row>
    <row r="115" spans="1:26" ht="14.25" customHeight="1" x14ac:dyDescent="0.25">
      <c r="A115" s="12"/>
      <c r="B115" s="13"/>
      <c r="C115" s="13"/>
      <c r="D115" s="13"/>
      <c r="E115" s="13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1"/>
    </row>
    <row r="116" spans="1:26" ht="14.25" customHeight="1" x14ac:dyDescent="0.25">
      <c r="A116" s="12"/>
      <c r="B116" s="13"/>
      <c r="C116" s="13"/>
      <c r="D116" s="13"/>
      <c r="E116" s="13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1"/>
    </row>
    <row r="117" spans="1:26" ht="14.25" customHeight="1" x14ac:dyDescent="0.25">
      <c r="A117" s="12"/>
      <c r="B117" s="13"/>
      <c r="C117" s="13"/>
      <c r="D117" s="13"/>
      <c r="E117" s="13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1"/>
    </row>
    <row r="118" spans="1:26" ht="14.25" customHeight="1" x14ac:dyDescent="0.25">
      <c r="A118" s="12"/>
      <c r="B118" s="13"/>
      <c r="C118" s="13"/>
      <c r="D118" s="13"/>
      <c r="E118" s="13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1"/>
    </row>
    <row r="119" spans="1:26" ht="14.25" customHeight="1" x14ac:dyDescent="0.25">
      <c r="A119" s="12"/>
      <c r="B119" s="13"/>
      <c r="C119" s="13"/>
      <c r="D119" s="13"/>
      <c r="E119" s="13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1"/>
    </row>
    <row r="120" spans="1:26" ht="14.25" customHeight="1" x14ac:dyDescent="0.25">
      <c r="A120" s="12"/>
      <c r="B120" s="13"/>
      <c r="C120" s="13"/>
      <c r="D120" s="13"/>
      <c r="E120" s="13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1"/>
    </row>
    <row r="121" spans="1:26" ht="14.25" customHeight="1" x14ac:dyDescent="0.25">
      <c r="A121" s="12"/>
      <c r="B121" s="13"/>
      <c r="C121" s="13"/>
      <c r="D121" s="13"/>
      <c r="E121" s="13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1"/>
    </row>
    <row r="122" spans="1:26" ht="14.25" customHeight="1" x14ac:dyDescent="0.25">
      <c r="A122" s="12"/>
      <c r="B122" s="13"/>
      <c r="C122" s="13"/>
      <c r="D122" s="13"/>
      <c r="E122" s="13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1"/>
    </row>
    <row r="123" spans="1:26" ht="14.25" customHeight="1" x14ac:dyDescent="0.25">
      <c r="A123" s="12"/>
      <c r="B123" s="13"/>
      <c r="C123" s="13"/>
      <c r="D123" s="13"/>
      <c r="E123" s="13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1"/>
    </row>
    <row r="124" spans="1:26" ht="14.25" customHeight="1" x14ac:dyDescent="0.25">
      <c r="A124" s="12"/>
      <c r="B124" s="13"/>
      <c r="C124" s="13"/>
      <c r="D124" s="13"/>
      <c r="E124" s="13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1"/>
    </row>
    <row r="125" spans="1:26" ht="14.25" customHeight="1" x14ac:dyDescent="0.25">
      <c r="A125" s="12"/>
      <c r="B125" s="13"/>
      <c r="C125" s="13"/>
      <c r="D125" s="13"/>
      <c r="E125" s="13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1"/>
    </row>
    <row r="126" spans="1:26" ht="14.25" customHeight="1" x14ac:dyDescent="0.25">
      <c r="A126" s="12"/>
      <c r="B126" s="13"/>
      <c r="C126" s="13"/>
      <c r="D126" s="13"/>
      <c r="E126" s="13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1"/>
    </row>
    <row r="127" spans="1:26" ht="14.25" customHeight="1" x14ac:dyDescent="0.25">
      <c r="A127" s="12"/>
      <c r="B127" s="13"/>
      <c r="C127" s="13"/>
      <c r="D127" s="13"/>
      <c r="E127" s="13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1"/>
    </row>
    <row r="128" spans="1:26" ht="14.25" customHeight="1" x14ac:dyDescent="0.25">
      <c r="A128" s="12"/>
      <c r="B128" s="13"/>
      <c r="C128" s="13"/>
      <c r="D128" s="13"/>
      <c r="E128" s="13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1"/>
    </row>
    <row r="129" spans="1:26" ht="14.25" customHeight="1" x14ac:dyDescent="0.25">
      <c r="A129" s="12"/>
      <c r="B129" s="13"/>
      <c r="C129" s="13"/>
      <c r="D129" s="13"/>
      <c r="E129" s="13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1"/>
    </row>
    <row r="130" spans="1:26" ht="14.25" customHeight="1" x14ac:dyDescent="0.25">
      <c r="A130" s="12"/>
      <c r="B130" s="13"/>
      <c r="C130" s="13"/>
      <c r="D130" s="13"/>
      <c r="E130" s="13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1"/>
    </row>
    <row r="131" spans="1:26" ht="14.25" customHeight="1" x14ac:dyDescent="0.25">
      <c r="A131" s="12"/>
      <c r="B131" s="13"/>
      <c r="C131" s="13"/>
      <c r="D131" s="13"/>
      <c r="E131" s="13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1"/>
    </row>
    <row r="132" spans="1:26" ht="14.25" customHeight="1" x14ac:dyDescent="0.25">
      <c r="A132" s="12"/>
      <c r="B132" s="13"/>
      <c r="C132" s="13"/>
      <c r="D132" s="13"/>
      <c r="E132" s="13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1"/>
    </row>
    <row r="133" spans="1:26" ht="14.25" customHeight="1" x14ac:dyDescent="0.25">
      <c r="A133" s="12"/>
      <c r="B133" s="13"/>
      <c r="C133" s="13"/>
      <c r="D133" s="13"/>
      <c r="E133" s="13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1"/>
    </row>
    <row r="134" spans="1:26" ht="14.25" customHeight="1" x14ac:dyDescent="0.25">
      <c r="A134" s="12"/>
      <c r="B134" s="13"/>
      <c r="C134" s="13"/>
      <c r="D134" s="13"/>
      <c r="E134" s="13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1"/>
    </row>
    <row r="135" spans="1:26" ht="14.25" customHeight="1" x14ac:dyDescent="0.25">
      <c r="A135" s="12"/>
      <c r="B135" s="13"/>
      <c r="C135" s="13"/>
      <c r="D135" s="13"/>
      <c r="E135" s="13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1"/>
    </row>
    <row r="136" spans="1:26" ht="14.25" customHeight="1" x14ac:dyDescent="0.25">
      <c r="A136" s="12"/>
      <c r="B136" s="13"/>
      <c r="C136" s="13"/>
      <c r="D136" s="13"/>
      <c r="E136" s="13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1"/>
    </row>
    <row r="137" spans="1:26" ht="14.25" customHeight="1" x14ac:dyDescent="0.25">
      <c r="A137" s="12"/>
      <c r="B137" s="13"/>
      <c r="C137" s="13"/>
      <c r="D137" s="13"/>
      <c r="E137" s="13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1"/>
    </row>
    <row r="138" spans="1:26" ht="14.25" customHeight="1" x14ac:dyDescent="0.25">
      <c r="A138" s="12"/>
      <c r="B138" s="13"/>
      <c r="C138" s="13"/>
      <c r="D138" s="13"/>
      <c r="E138" s="13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1"/>
    </row>
    <row r="139" spans="1:26" ht="14.25" customHeight="1" x14ac:dyDescent="0.25">
      <c r="A139" s="12"/>
      <c r="B139" s="13"/>
      <c r="C139" s="13"/>
      <c r="D139" s="13"/>
      <c r="E139" s="13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1"/>
    </row>
    <row r="140" spans="1:26" ht="14.25" customHeight="1" x14ac:dyDescent="0.25">
      <c r="A140" s="12"/>
      <c r="B140" s="13"/>
      <c r="C140" s="13"/>
      <c r="D140" s="13"/>
      <c r="E140" s="13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1"/>
    </row>
    <row r="141" spans="1:26" ht="14.25" customHeight="1" x14ac:dyDescent="0.25">
      <c r="A141" s="12"/>
      <c r="B141" s="13"/>
      <c r="C141" s="13"/>
      <c r="D141" s="13"/>
      <c r="E141" s="13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1"/>
    </row>
    <row r="142" spans="1:26" ht="14.25" customHeight="1" x14ac:dyDescent="0.25">
      <c r="A142" s="12"/>
      <c r="B142" s="13"/>
      <c r="C142" s="13"/>
      <c r="D142" s="13"/>
      <c r="E142" s="13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1"/>
    </row>
    <row r="143" spans="1:26" ht="14.25" customHeight="1" x14ac:dyDescent="0.25">
      <c r="A143" s="12"/>
      <c r="B143" s="13"/>
      <c r="C143" s="13"/>
      <c r="D143" s="13"/>
      <c r="E143" s="13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1"/>
    </row>
    <row r="144" spans="1:26" ht="14.25" customHeight="1" x14ac:dyDescent="0.25">
      <c r="A144" s="12"/>
      <c r="B144" s="13"/>
      <c r="C144" s="13"/>
      <c r="D144" s="13"/>
      <c r="E144" s="13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1"/>
    </row>
    <row r="145" spans="1:26" ht="14.25" customHeight="1" x14ac:dyDescent="0.25">
      <c r="A145" s="12"/>
      <c r="B145" s="13"/>
      <c r="C145" s="13"/>
      <c r="D145" s="13"/>
      <c r="E145" s="13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1"/>
    </row>
    <row r="146" spans="1:26" ht="14.25" customHeight="1" x14ac:dyDescent="0.25">
      <c r="A146" s="12"/>
      <c r="B146" s="13"/>
      <c r="C146" s="13"/>
      <c r="D146" s="13"/>
      <c r="E146" s="13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1"/>
    </row>
    <row r="147" spans="1:26" ht="14.25" customHeight="1" x14ac:dyDescent="0.25">
      <c r="A147" s="12"/>
      <c r="B147" s="13"/>
      <c r="C147" s="13"/>
      <c r="D147" s="13"/>
      <c r="E147" s="13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1"/>
    </row>
    <row r="148" spans="1:26" ht="14.25" customHeight="1" x14ac:dyDescent="0.25">
      <c r="A148" s="12"/>
      <c r="B148" s="13"/>
      <c r="C148" s="13"/>
      <c r="D148" s="13"/>
      <c r="E148" s="13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1"/>
    </row>
    <row r="149" spans="1:26" ht="14.25" customHeight="1" x14ac:dyDescent="0.25">
      <c r="A149" s="12"/>
      <c r="B149" s="13"/>
      <c r="C149" s="13"/>
      <c r="D149" s="13"/>
      <c r="E149" s="13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1"/>
    </row>
    <row r="150" spans="1:26" ht="14.25" customHeight="1" x14ac:dyDescent="0.25">
      <c r="A150" s="12"/>
      <c r="B150" s="13"/>
      <c r="C150" s="13"/>
      <c r="D150" s="13"/>
      <c r="E150" s="13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1"/>
    </row>
    <row r="151" spans="1:26" ht="14.25" customHeight="1" x14ac:dyDescent="0.25">
      <c r="A151" s="12"/>
      <c r="B151" s="13"/>
      <c r="C151" s="13"/>
      <c r="D151" s="13"/>
      <c r="E151" s="13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1"/>
    </row>
    <row r="152" spans="1:26" ht="14.25" customHeight="1" x14ac:dyDescent="0.25">
      <c r="A152" s="12"/>
      <c r="B152" s="13"/>
      <c r="C152" s="13"/>
      <c r="D152" s="13"/>
      <c r="E152" s="13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1"/>
    </row>
    <row r="153" spans="1:26" ht="14.25" customHeight="1" x14ac:dyDescent="0.25">
      <c r="A153" s="12"/>
      <c r="B153" s="13"/>
      <c r="C153" s="13"/>
      <c r="D153" s="13"/>
      <c r="E153" s="13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1"/>
    </row>
    <row r="154" spans="1:26" ht="14.25" customHeight="1" x14ac:dyDescent="0.25">
      <c r="A154" s="12"/>
      <c r="B154" s="13"/>
      <c r="C154" s="13"/>
      <c r="D154" s="13"/>
      <c r="E154" s="13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1"/>
    </row>
    <row r="155" spans="1:26" ht="14.25" customHeight="1" x14ac:dyDescent="0.25">
      <c r="A155" s="12"/>
      <c r="B155" s="13"/>
      <c r="C155" s="13"/>
      <c r="D155" s="13"/>
      <c r="E155" s="13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1"/>
    </row>
    <row r="156" spans="1:26" ht="14.25" customHeight="1" x14ac:dyDescent="0.25">
      <c r="A156" s="12"/>
      <c r="B156" s="13"/>
      <c r="C156" s="13"/>
      <c r="D156" s="13"/>
      <c r="E156" s="13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1"/>
    </row>
    <row r="157" spans="1:26" ht="14.25" customHeight="1" x14ac:dyDescent="0.25">
      <c r="A157" s="12"/>
      <c r="B157" s="13"/>
      <c r="C157" s="13"/>
      <c r="D157" s="13"/>
      <c r="E157" s="13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1"/>
    </row>
    <row r="158" spans="1:26" ht="14.25" customHeight="1" x14ac:dyDescent="0.25">
      <c r="A158" s="12"/>
      <c r="B158" s="13"/>
      <c r="C158" s="13"/>
      <c r="D158" s="13"/>
      <c r="E158" s="13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1"/>
    </row>
    <row r="159" spans="1:26" ht="14.25" customHeight="1" x14ac:dyDescent="0.25">
      <c r="A159" s="12"/>
      <c r="B159" s="13"/>
      <c r="C159" s="13"/>
      <c r="D159" s="13"/>
      <c r="E159" s="13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1"/>
    </row>
    <row r="160" spans="1:26" ht="14.25" customHeight="1" x14ac:dyDescent="0.25">
      <c r="A160" s="12"/>
      <c r="B160" s="13"/>
      <c r="C160" s="13"/>
      <c r="D160" s="13"/>
      <c r="E160" s="13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1"/>
    </row>
    <row r="161" spans="1:26" ht="14.25" customHeight="1" x14ac:dyDescent="0.25">
      <c r="A161" s="12"/>
      <c r="B161" s="13"/>
      <c r="C161" s="13"/>
      <c r="D161" s="13"/>
      <c r="E161" s="13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1"/>
    </row>
    <row r="162" spans="1:26" ht="14.25" customHeight="1" x14ac:dyDescent="0.25">
      <c r="A162" s="12"/>
      <c r="B162" s="13"/>
      <c r="C162" s="13"/>
      <c r="D162" s="13"/>
      <c r="E162" s="13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1"/>
    </row>
    <row r="163" spans="1:26" ht="14.25" customHeight="1" x14ac:dyDescent="0.25">
      <c r="A163" s="12"/>
      <c r="B163" s="13"/>
      <c r="C163" s="13"/>
      <c r="D163" s="13"/>
      <c r="E163" s="13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1"/>
    </row>
    <row r="164" spans="1:26" ht="14.25" customHeight="1" x14ac:dyDescent="0.25">
      <c r="A164" s="12"/>
      <c r="B164" s="13"/>
      <c r="C164" s="13"/>
      <c r="D164" s="13"/>
      <c r="E164" s="13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1"/>
    </row>
    <row r="165" spans="1:26" ht="14.25" customHeight="1" x14ac:dyDescent="0.25">
      <c r="A165" s="12"/>
      <c r="B165" s="13"/>
      <c r="C165" s="13"/>
      <c r="D165" s="13"/>
      <c r="E165" s="13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1"/>
    </row>
    <row r="166" spans="1:26" ht="14.25" customHeight="1" x14ac:dyDescent="0.25">
      <c r="A166" s="12"/>
      <c r="B166" s="13"/>
      <c r="C166" s="13"/>
      <c r="D166" s="13"/>
      <c r="E166" s="13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1"/>
    </row>
    <row r="167" spans="1:26" ht="14.25" customHeight="1" x14ac:dyDescent="0.25">
      <c r="A167" s="12"/>
      <c r="B167" s="13"/>
      <c r="C167" s="13"/>
      <c r="D167" s="13"/>
      <c r="E167" s="13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1"/>
    </row>
    <row r="168" spans="1:26" ht="14.25" customHeight="1" x14ac:dyDescent="0.25">
      <c r="A168" s="12"/>
      <c r="B168" s="13"/>
      <c r="C168" s="13"/>
      <c r="D168" s="13"/>
      <c r="E168" s="13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1"/>
    </row>
    <row r="169" spans="1:26" ht="14.25" customHeight="1" x14ac:dyDescent="0.25">
      <c r="A169" s="12"/>
      <c r="B169" s="13"/>
      <c r="C169" s="13"/>
      <c r="D169" s="13"/>
      <c r="E169" s="13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1"/>
    </row>
    <row r="170" spans="1:26" ht="14.25" customHeight="1" x14ac:dyDescent="0.25">
      <c r="A170" s="12"/>
      <c r="B170" s="13"/>
      <c r="C170" s="13"/>
      <c r="D170" s="13"/>
      <c r="E170" s="13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1"/>
    </row>
    <row r="171" spans="1:26" ht="14.25" customHeight="1" x14ac:dyDescent="0.25">
      <c r="A171" s="12"/>
      <c r="B171" s="13"/>
      <c r="C171" s="13"/>
      <c r="D171" s="13"/>
      <c r="E171" s="13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1"/>
    </row>
    <row r="172" spans="1:26" ht="14.25" customHeight="1" x14ac:dyDescent="0.25">
      <c r="A172" s="12"/>
      <c r="B172" s="13"/>
      <c r="C172" s="13"/>
      <c r="D172" s="13"/>
      <c r="E172" s="13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1"/>
    </row>
    <row r="173" spans="1:26" ht="14.25" customHeight="1" x14ac:dyDescent="0.25">
      <c r="A173" s="12"/>
      <c r="B173" s="13"/>
      <c r="C173" s="13"/>
      <c r="D173" s="13"/>
      <c r="E173" s="13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1"/>
    </row>
    <row r="174" spans="1:26" ht="14.25" customHeight="1" x14ac:dyDescent="0.25">
      <c r="A174" s="12"/>
      <c r="B174" s="13"/>
      <c r="C174" s="13"/>
      <c r="D174" s="13"/>
      <c r="E174" s="13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1"/>
    </row>
    <row r="175" spans="1:26" ht="14.25" customHeight="1" x14ac:dyDescent="0.25">
      <c r="A175" s="12"/>
      <c r="B175" s="13"/>
      <c r="C175" s="13"/>
      <c r="D175" s="13"/>
      <c r="E175" s="13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1"/>
    </row>
    <row r="176" spans="1:26" ht="14.25" customHeight="1" x14ac:dyDescent="0.25">
      <c r="A176" s="12"/>
      <c r="B176" s="13"/>
      <c r="C176" s="13"/>
      <c r="D176" s="13"/>
      <c r="E176" s="13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1"/>
    </row>
    <row r="177" spans="1:26" ht="14.25" customHeight="1" x14ac:dyDescent="0.25">
      <c r="A177" s="12"/>
      <c r="B177" s="13"/>
      <c r="C177" s="13"/>
      <c r="D177" s="13"/>
      <c r="E177" s="13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1"/>
    </row>
    <row r="178" spans="1:26" ht="14.25" customHeight="1" x14ac:dyDescent="0.25">
      <c r="A178" s="12"/>
      <c r="B178" s="13"/>
      <c r="C178" s="13"/>
      <c r="D178" s="13"/>
      <c r="E178" s="13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1"/>
    </row>
    <row r="179" spans="1:26" ht="14.25" customHeight="1" x14ac:dyDescent="0.25">
      <c r="A179" s="12"/>
      <c r="B179" s="13"/>
      <c r="C179" s="13"/>
      <c r="D179" s="13"/>
      <c r="E179" s="13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1"/>
    </row>
    <row r="180" spans="1:26" ht="14.25" customHeight="1" x14ac:dyDescent="0.25">
      <c r="A180" s="12"/>
      <c r="B180" s="13"/>
      <c r="C180" s="13"/>
      <c r="D180" s="13"/>
      <c r="E180" s="13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1"/>
    </row>
    <row r="181" spans="1:26" ht="14.25" customHeight="1" x14ac:dyDescent="0.25">
      <c r="A181" s="12"/>
      <c r="B181" s="13"/>
      <c r="C181" s="13"/>
      <c r="D181" s="13"/>
      <c r="E181" s="13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1"/>
    </row>
    <row r="182" spans="1:26" ht="14.25" customHeight="1" x14ac:dyDescent="0.25">
      <c r="A182" s="12"/>
      <c r="B182" s="13"/>
      <c r="C182" s="13"/>
      <c r="D182" s="13"/>
      <c r="E182" s="13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1"/>
    </row>
    <row r="183" spans="1:26" ht="14.25" customHeight="1" x14ac:dyDescent="0.25">
      <c r="A183" s="12"/>
      <c r="B183" s="13"/>
      <c r="C183" s="13"/>
      <c r="D183" s="13"/>
      <c r="E183" s="13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1"/>
    </row>
    <row r="184" spans="1:26" ht="14.25" customHeight="1" x14ac:dyDescent="0.25">
      <c r="A184" s="12"/>
      <c r="B184" s="13"/>
      <c r="C184" s="13"/>
      <c r="D184" s="13"/>
      <c r="E184" s="13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1"/>
    </row>
    <row r="185" spans="1:26" ht="14.25" customHeight="1" x14ac:dyDescent="0.25">
      <c r="A185" s="12"/>
      <c r="B185" s="13"/>
      <c r="C185" s="13"/>
      <c r="D185" s="13"/>
      <c r="E185" s="13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1"/>
    </row>
    <row r="186" spans="1:26" ht="14.25" customHeight="1" x14ac:dyDescent="0.25">
      <c r="A186" s="12"/>
      <c r="B186" s="13"/>
      <c r="C186" s="13"/>
      <c r="D186" s="13"/>
      <c r="E186" s="13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1"/>
    </row>
    <row r="187" spans="1:26" ht="14.25" customHeight="1" x14ac:dyDescent="0.25">
      <c r="A187" s="12"/>
      <c r="B187" s="13"/>
      <c r="C187" s="13"/>
      <c r="D187" s="13"/>
      <c r="E187" s="13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1"/>
    </row>
    <row r="188" spans="1:26" ht="14.25" customHeight="1" x14ac:dyDescent="0.25">
      <c r="A188" s="12"/>
      <c r="B188" s="13"/>
      <c r="C188" s="13"/>
      <c r="D188" s="13"/>
      <c r="E188" s="13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1"/>
    </row>
    <row r="189" spans="1:26" ht="14.25" customHeight="1" x14ac:dyDescent="0.25">
      <c r="A189" s="12"/>
      <c r="B189" s="13"/>
      <c r="C189" s="13"/>
      <c r="D189" s="13"/>
      <c r="E189" s="13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1"/>
    </row>
    <row r="190" spans="1:26" ht="14.25" customHeight="1" x14ac:dyDescent="0.25">
      <c r="A190" s="12"/>
      <c r="B190" s="13"/>
      <c r="C190" s="13"/>
      <c r="D190" s="13"/>
      <c r="E190" s="13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1"/>
    </row>
    <row r="191" spans="1:26" ht="14.25" customHeight="1" x14ac:dyDescent="0.25">
      <c r="A191" s="12"/>
      <c r="B191" s="13"/>
      <c r="C191" s="13"/>
      <c r="D191" s="13"/>
      <c r="E191" s="13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1"/>
    </row>
    <row r="192" spans="1:26" ht="14.25" customHeight="1" x14ac:dyDescent="0.25">
      <c r="A192" s="12"/>
      <c r="B192" s="13"/>
      <c r="C192" s="13"/>
      <c r="D192" s="13"/>
      <c r="E192" s="13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1"/>
    </row>
    <row r="193" spans="1:26" ht="14.25" customHeight="1" x14ac:dyDescent="0.25">
      <c r="A193" s="12"/>
      <c r="B193" s="13"/>
      <c r="C193" s="13"/>
      <c r="D193" s="13"/>
      <c r="E193" s="13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1"/>
    </row>
    <row r="194" spans="1:26" ht="14.25" customHeight="1" x14ac:dyDescent="0.25">
      <c r="A194" s="12"/>
      <c r="B194" s="13"/>
      <c r="C194" s="13"/>
      <c r="D194" s="13"/>
      <c r="E194" s="13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1"/>
    </row>
    <row r="195" spans="1:26" ht="14.25" customHeight="1" x14ac:dyDescent="0.25">
      <c r="A195" s="12"/>
      <c r="B195" s="13"/>
      <c r="C195" s="13"/>
      <c r="D195" s="13"/>
      <c r="E195" s="13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1"/>
    </row>
    <row r="196" spans="1:26" ht="14.25" customHeight="1" x14ac:dyDescent="0.25">
      <c r="A196" s="12"/>
      <c r="B196" s="13"/>
      <c r="C196" s="13"/>
      <c r="D196" s="13"/>
      <c r="E196" s="13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1"/>
    </row>
    <row r="197" spans="1:26" ht="14.25" customHeight="1" x14ac:dyDescent="0.25">
      <c r="A197" s="12"/>
      <c r="B197" s="13"/>
      <c r="C197" s="13"/>
      <c r="D197" s="13"/>
      <c r="E197" s="13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1"/>
    </row>
    <row r="198" spans="1:26" ht="14.25" customHeight="1" x14ac:dyDescent="0.25">
      <c r="A198" s="12"/>
      <c r="B198" s="13"/>
      <c r="C198" s="13"/>
      <c r="D198" s="13"/>
      <c r="E198" s="13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1"/>
    </row>
    <row r="199" spans="1:26" ht="14.25" customHeight="1" x14ac:dyDescent="0.25">
      <c r="A199" s="12"/>
      <c r="B199" s="13"/>
      <c r="C199" s="13"/>
      <c r="D199" s="13"/>
      <c r="E199" s="13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1"/>
    </row>
    <row r="200" spans="1:26" ht="14.25" customHeight="1" x14ac:dyDescent="0.25">
      <c r="A200" s="12"/>
      <c r="B200" s="13"/>
      <c r="C200" s="13"/>
      <c r="D200" s="13"/>
      <c r="E200" s="13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1"/>
    </row>
    <row r="201" spans="1:26" ht="14.25" customHeight="1" x14ac:dyDescent="0.25">
      <c r="A201" s="12"/>
      <c r="B201" s="13"/>
      <c r="C201" s="13"/>
      <c r="D201" s="13"/>
      <c r="E201" s="13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1"/>
    </row>
    <row r="202" spans="1:26" ht="14.25" customHeight="1" x14ac:dyDescent="0.25">
      <c r="A202" s="12"/>
      <c r="B202" s="13"/>
      <c r="C202" s="13"/>
      <c r="D202" s="13"/>
      <c r="E202" s="13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1"/>
    </row>
    <row r="203" spans="1:26" ht="14.25" customHeight="1" x14ac:dyDescent="0.25">
      <c r="A203" s="12"/>
      <c r="B203" s="13"/>
      <c r="C203" s="13"/>
      <c r="D203" s="13"/>
      <c r="E203" s="13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1"/>
    </row>
    <row r="204" spans="1:26" ht="14.25" customHeight="1" x14ac:dyDescent="0.25">
      <c r="A204" s="12"/>
      <c r="B204" s="13"/>
      <c r="C204" s="13"/>
      <c r="D204" s="13"/>
      <c r="E204" s="13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1"/>
    </row>
    <row r="205" spans="1:26" ht="14.25" customHeight="1" x14ac:dyDescent="0.25">
      <c r="A205" s="12"/>
      <c r="B205" s="13"/>
      <c r="C205" s="13"/>
      <c r="D205" s="13"/>
      <c r="E205" s="13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1"/>
    </row>
    <row r="206" spans="1:26" ht="14.25" customHeight="1" x14ac:dyDescent="0.25">
      <c r="A206" s="12"/>
      <c r="B206" s="13"/>
      <c r="C206" s="13"/>
      <c r="D206" s="13"/>
      <c r="E206" s="13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1"/>
    </row>
    <row r="207" spans="1:26" ht="14.25" customHeight="1" x14ac:dyDescent="0.25">
      <c r="A207" s="12"/>
      <c r="B207" s="13"/>
      <c r="C207" s="13"/>
      <c r="D207" s="13"/>
      <c r="E207" s="13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1"/>
    </row>
    <row r="208" spans="1:26" ht="14.25" customHeight="1" x14ac:dyDescent="0.25">
      <c r="A208" s="12"/>
      <c r="B208" s="13"/>
      <c r="C208" s="13"/>
      <c r="D208" s="13"/>
      <c r="E208" s="13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1"/>
    </row>
    <row r="209" spans="1:26" ht="14.25" customHeight="1" x14ac:dyDescent="0.25">
      <c r="A209" s="12"/>
      <c r="B209" s="13"/>
      <c r="C209" s="13"/>
      <c r="D209" s="13"/>
      <c r="E209" s="13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1"/>
    </row>
    <row r="210" spans="1:26" ht="14.25" customHeight="1" x14ac:dyDescent="0.25">
      <c r="A210" s="12"/>
      <c r="B210" s="13"/>
      <c r="C210" s="13"/>
      <c r="D210" s="13"/>
      <c r="E210" s="13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1"/>
    </row>
    <row r="211" spans="1:26" ht="14.25" customHeight="1" x14ac:dyDescent="0.25">
      <c r="A211" s="12"/>
      <c r="B211" s="13"/>
      <c r="C211" s="13"/>
      <c r="D211" s="13"/>
      <c r="E211" s="13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1"/>
    </row>
    <row r="212" spans="1:26" ht="14.25" customHeight="1" x14ac:dyDescent="0.25">
      <c r="A212" s="12"/>
      <c r="B212" s="13"/>
      <c r="C212" s="13"/>
      <c r="D212" s="13"/>
      <c r="E212" s="13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1"/>
    </row>
    <row r="213" spans="1:26" ht="14.25" customHeight="1" x14ac:dyDescent="0.25">
      <c r="A213" s="12"/>
      <c r="B213" s="13"/>
      <c r="C213" s="13"/>
      <c r="D213" s="13"/>
      <c r="E213" s="13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1"/>
    </row>
    <row r="214" spans="1:26" ht="14.25" customHeight="1" x14ac:dyDescent="0.25">
      <c r="A214" s="12"/>
      <c r="B214" s="13"/>
      <c r="C214" s="13"/>
      <c r="D214" s="13"/>
      <c r="E214" s="13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1"/>
    </row>
    <row r="215" spans="1:26" ht="14.25" customHeight="1" x14ac:dyDescent="0.25">
      <c r="A215" s="12"/>
      <c r="B215" s="13"/>
      <c r="C215" s="13"/>
      <c r="D215" s="13"/>
      <c r="E215" s="13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1"/>
    </row>
    <row r="216" spans="1:26" ht="14.25" customHeight="1" x14ac:dyDescent="0.25">
      <c r="A216" s="12"/>
      <c r="B216" s="13"/>
      <c r="C216" s="13"/>
      <c r="D216" s="13"/>
      <c r="E216" s="13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1"/>
    </row>
    <row r="217" spans="1:26" ht="14.25" customHeight="1" x14ac:dyDescent="0.25">
      <c r="A217" s="12"/>
      <c r="B217" s="13"/>
      <c r="C217" s="13"/>
      <c r="D217" s="13"/>
      <c r="E217" s="13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1"/>
    </row>
    <row r="218" spans="1:26" ht="14.25" customHeight="1" x14ac:dyDescent="0.25">
      <c r="A218" s="12"/>
      <c r="B218" s="13"/>
      <c r="C218" s="13"/>
      <c r="D218" s="13"/>
      <c r="E218" s="13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1"/>
    </row>
    <row r="219" spans="1:26" ht="14.25" customHeight="1" x14ac:dyDescent="0.25">
      <c r="A219" s="12"/>
      <c r="B219" s="13"/>
      <c r="C219" s="13"/>
      <c r="D219" s="13"/>
      <c r="E219" s="13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1"/>
    </row>
    <row r="220" spans="1:26" ht="14.25" customHeight="1" x14ac:dyDescent="0.25">
      <c r="A220" s="12"/>
      <c r="B220" s="13"/>
      <c r="C220" s="13"/>
      <c r="D220" s="13"/>
      <c r="E220" s="13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1"/>
    </row>
    <row r="221" spans="1:26" ht="15.75" customHeight="1" x14ac:dyDescent="0.2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5.75" customHeight="1" x14ac:dyDescent="0.2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5.75" customHeight="1" x14ac:dyDescent="0.2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.75" customHeight="1" x14ac:dyDescent="0.2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.75" customHeight="1" x14ac:dyDescent="0.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.75" customHeight="1" x14ac:dyDescent="0.2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.75" customHeight="1" x14ac:dyDescent="0.2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.75" customHeight="1" x14ac:dyDescent="0.2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.75" customHeight="1" x14ac:dyDescent="0.2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.75" customHeight="1" x14ac:dyDescent="0.2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.75" customHeight="1" x14ac:dyDescent="0.2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.75" customHeight="1" x14ac:dyDescent="0.2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5.75" customHeight="1" x14ac:dyDescent="0.2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5.75" customHeight="1" x14ac:dyDescent="0.2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.75" customHeight="1" x14ac:dyDescent="0.2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.75" customHeight="1" x14ac:dyDescent="0.2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5.75" customHeight="1" x14ac:dyDescent="0.2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5.75" customHeight="1" x14ac:dyDescent="0.2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5.75" customHeight="1" x14ac:dyDescent="0.2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5.75" customHeight="1" x14ac:dyDescent="0.2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5.75" customHeight="1" x14ac:dyDescent="0.2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5.75" customHeight="1" x14ac:dyDescent="0.2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5.75" customHeight="1" x14ac:dyDescent="0.2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5.75" customHeight="1" x14ac:dyDescent="0.2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5.75" customHeight="1" x14ac:dyDescent="0.2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5.75" customHeight="1" x14ac:dyDescent="0.2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5.75" customHeight="1" x14ac:dyDescent="0.2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5.75" customHeight="1" x14ac:dyDescent="0.2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5.75" customHeight="1" x14ac:dyDescent="0.2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5.75" customHeight="1" x14ac:dyDescent="0.2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5.75" customHeight="1" x14ac:dyDescent="0.2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5.75" customHeight="1" x14ac:dyDescent="0.2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5.75" customHeight="1" x14ac:dyDescent="0.2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5.75" customHeight="1" x14ac:dyDescent="0.2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5.75" customHeight="1" x14ac:dyDescent="0.2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5.75" customHeight="1" x14ac:dyDescent="0.2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5.75" customHeight="1" x14ac:dyDescent="0.2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5.75" customHeight="1" x14ac:dyDescent="0.2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5.75" customHeight="1" x14ac:dyDescent="0.2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5.75" customHeight="1" x14ac:dyDescent="0.2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5.75" customHeight="1" x14ac:dyDescent="0.2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5.75" customHeight="1" x14ac:dyDescent="0.2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5.75" customHeight="1" x14ac:dyDescent="0.2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5.75" customHeight="1" x14ac:dyDescent="0.2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5.75" customHeight="1" x14ac:dyDescent="0.2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5.75" customHeight="1" x14ac:dyDescent="0.2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5.75" customHeight="1" x14ac:dyDescent="0.2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5.75" customHeight="1" x14ac:dyDescent="0.2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5.75" customHeight="1" x14ac:dyDescent="0.2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5.75" customHeight="1" x14ac:dyDescent="0.2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5.75" customHeight="1" x14ac:dyDescent="0.2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5.75" customHeight="1" x14ac:dyDescent="0.2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5.75" customHeight="1" x14ac:dyDescent="0.2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5.75" customHeight="1" x14ac:dyDescent="0.2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5.75" customHeight="1" x14ac:dyDescent="0.2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5.75" customHeight="1" x14ac:dyDescent="0.2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5.75" customHeight="1" x14ac:dyDescent="0.2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5.75" customHeight="1" x14ac:dyDescent="0.2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5.75" customHeight="1" x14ac:dyDescent="0.2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5.75" customHeight="1" x14ac:dyDescent="0.2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5.75" customHeight="1" x14ac:dyDescent="0.2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5.75" customHeight="1" x14ac:dyDescent="0.2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5.75" customHeight="1" x14ac:dyDescent="0.2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5.75" customHeight="1" x14ac:dyDescent="0.2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5.75" customHeight="1" x14ac:dyDescent="0.2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5.75" customHeight="1" x14ac:dyDescent="0.2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5.75" customHeight="1" x14ac:dyDescent="0.2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5.75" customHeight="1" x14ac:dyDescent="0.2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5.75" customHeight="1" x14ac:dyDescent="0.2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5.75" customHeight="1" x14ac:dyDescent="0.2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5.75" customHeight="1" x14ac:dyDescent="0.2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5.75" customHeight="1" x14ac:dyDescent="0.2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5.75" customHeight="1" x14ac:dyDescent="0.2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5.75" customHeight="1" x14ac:dyDescent="0.2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5.75" customHeight="1" x14ac:dyDescent="0.2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5.75" customHeight="1" x14ac:dyDescent="0.2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5.75" customHeight="1" x14ac:dyDescent="0.2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5.75" customHeight="1" x14ac:dyDescent="0.2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5.75" customHeight="1" x14ac:dyDescent="0.2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5.75" customHeight="1" x14ac:dyDescent="0.2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5.75" customHeight="1" x14ac:dyDescent="0.2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5.75" customHeight="1" x14ac:dyDescent="0.2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5.75" customHeight="1" x14ac:dyDescent="0.2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5.75" customHeight="1" x14ac:dyDescent="0.2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5.75" customHeight="1" x14ac:dyDescent="0.2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5.75" customHeight="1" x14ac:dyDescent="0.2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5.75" customHeight="1" x14ac:dyDescent="0.2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5.75" customHeight="1" x14ac:dyDescent="0.2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5.75" customHeight="1" x14ac:dyDescent="0.2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5.75" customHeight="1" x14ac:dyDescent="0.2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5.75" customHeight="1" x14ac:dyDescent="0.2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5.75" customHeight="1" x14ac:dyDescent="0.2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5.75" customHeight="1" x14ac:dyDescent="0.2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5.75" customHeight="1" x14ac:dyDescent="0.2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5.75" customHeight="1" x14ac:dyDescent="0.2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5.75" customHeight="1" x14ac:dyDescent="0.2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5.75" customHeight="1" x14ac:dyDescent="0.2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5.75" customHeight="1" x14ac:dyDescent="0.2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5.75" customHeight="1" x14ac:dyDescent="0.2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5.75" customHeight="1" x14ac:dyDescent="0.2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5.75" customHeight="1" x14ac:dyDescent="0.2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5.75" customHeight="1" x14ac:dyDescent="0.2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5.75" customHeight="1" x14ac:dyDescent="0.2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5.75" customHeight="1" x14ac:dyDescent="0.2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5.75" customHeight="1" x14ac:dyDescent="0.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5.75" customHeight="1" x14ac:dyDescent="0.2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5.75" customHeight="1" x14ac:dyDescent="0.2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5.75" customHeight="1" x14ac:dyDescent="0.2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5.75" customHeight="1" x14ac:dyDescent="0.2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5.75" customHeight="1" x14ac:dyDescent="0.2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5.75" customHeight="1" x14ac:dyDescent="0.2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5.75" customHeight="1" x14ac:dyDescent="0.2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5.75" customHeight="1" x14ac:dyDescent="0.2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5.75" customHeight="1" x14ac:dyDescent="0.2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5.75" customHeight="1" x14ac:dyDescent="0.2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5.75" customHeight="1" x14ac:dyDescent="0.25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5.75" customHeight="1" x14ac:dyDescent="0.25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5.75" customHeight="1" x14ac:dyDescent="0.25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5.75" customHeight="1" x14ac:dyDescent="0.25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5.75" customHeight="1" x14ac:dyDescent="0.25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5.75" customHeight="1" x14ac:dyDescent="0.25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5.75" customHeight="1" x14ac:dyDescent="0.25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5.75" customHeight="1" x14ac:dyDescent="0.25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5.75" customHeight="1" x14ac:dyDescent="0.2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5.75" customHeight="1" x14ac:dyDescent="0.2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5.75" customHeight="1" x14ac:dyDescent="0.2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5.75" customHeight="1" x14ac:dyDescent="0.2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5.75" customHeight="1" x14ac:dyDescent="0.2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5.75" customHeight="1" x14ac:dyDescent="0.2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5.75" customHeight="1" x14ac:dyDescent="0.2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5.75" customHeight="1" x14ac:dyDescent="0.2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5.75" customHeight="1" x14ac:dyDescent="0.2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5.75" customHeight="1" x14ac:dyDescent="0.2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5.75" customHeight="1" x14ac:dyDescent="0.25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5.75" customHeight="1" x14ac:dyDescent="0.2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5.75" customHeight="1" x14ac:dyDescent="0.25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5.75" customHeight="1" x14ac:dyDescent="0.2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5.75" customHeight="1" x14ac:dyDescent="0.2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5.75" customHeight="1" x14ac:dyDescent="0.25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5.75" customHeight="1" x14ac:dyDescent="0.25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5.75" customHeight="1" x14ac:dyDescent="0.25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5.75" customHeight="1" x14ac:dyDescent="0.25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5.75" customHeight="1" x14ac:dyDescent="0.25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5.75" customHeight="1" x14ac:dyDescent="0.2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5.75" customHeight="1" x14ac:dyDescent="0.2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5.75" customHeight="1" x14ac:dyDescent="0.2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5.75" customHeight="1" x14ac:dyDescent="0.2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5.75" customHeight="1" x14ac:dyDescent="0.2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5.75" customHeight="1" x14ac:dyDescent="0.2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5.75" customHeight="1" x14ac:dyDescent="0.2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5.75" customHeight="1" x14ac:dyDescent="0.2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5.75" customHeight="1" x14ac:dyDescent="0.2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5.75" customHeight="1" x14ac:dyDescent="0.2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5.75" customHeight="1" x14ac:dyDescent="0.2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5.75" customHeight="1" x14ac:dyDescent="0.2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5.75" customHeight="1" x14ac:dyDescent="0.2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5.75" customHeight="1" x14ac:dyDescent="0.2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5.75" customHeight="1" x14ac:dyDescent="0.2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5.75" customHeight="1" x14ac:dyDescent="0.2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5.75" customHeight="1" x14ac:dyDescent="0.2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5.75" customHeight="1" x14ac:dyDescent="0.2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5.75" customHeight="1" x14ac:dyDescent="0.2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5.75" customHeight="1" x14ac:dyDescent="0.2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5.75" customHeight="1" x14ac:dyDescent="0.2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5.75" customHeight="1" x14ac:dyDescent="0.2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5.75" customHeight="1" x14ac:dyDescent="0.2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5.75" customHeight="1" x14ac:dyDescent="0.2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5.75" customHeight="1" x14ac:dyDescent="0.2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5.75" customHeight="1" x14ac:dyDescent="0.2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5.75" customHeight="1" x14ac:dyDescent="0.2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5.75" customHeight="1" x14ac:dyDescent="0.2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5.75" customHeight="1" x14ac:dyDescent="0.2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5.75" customHeight="1" x14ac:dyDescent="0.2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5.75" customHeight="1" x14ac:dyDescent="0.2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5.75" customHeight="1" x14ac:dyDescent="0.2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5.75" customHeight="1" x14ac:dyDescent="0.25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5.75" customHeight="1" x14ac:dyDescent="0.25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5.75" customHeight="1" x14ac:dyDescent="0.25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5.75" customHeight="1" x14ac:dyDescent="0.2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5.75" customHeight="1" x14ac:dyDescent="0.25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5.75" customHeight="1" x14ac:dyDescent="0.2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5.75" customHeight="1" x14ac:dyDescent="0.2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5.75" customHeight="1" x14ac:dyDescent="0.25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5.75" customHeight="1" x14ac:dyDescent="0.2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5.75" customHeight="1" x14ac:dyDescent="0.2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5.75" customHeight="1" x14ac:dyDescent="0.2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5.75" customHeight="1" x14ac:dyDescent="0.2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5.75" customHeight="1" x14ac:dyDescent="0.2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5.75" customHeight="1" x14ac:dyDescent="0.2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5.75" customHeight="1" x14ac:dyDescent="0.2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5.75" customHeight="1" x14ac:dyDescent="0.2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5.75" customHeight="1" x14ac:dyDescent="0.25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5.75" customHeight="1" x14ac:dyDescent="0.25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5.75" customHeight="1" x14ac:dyDescent="0.2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5.75" customHeight="1" x14ac:dyDescent="0.2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5.75" customHeight="1" x14ac:dyDescent="0.2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5.75" customHeight="1" x14ac:dyDescent="0.2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5.75" customHeight="1" x14ac:dyDescent="0.2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5.75" customHeight="1" x14ac:dyDescent="0.25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5.75" customHeight="1" x14ac:dyDescent="0.2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5.75" customHeight="1" x14ac:dyDescent="0.2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5.75" customHeight="1" x14ac:dyDescent="0.2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5.75" customHeight="1" x14ac:dyDescent="0.2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5.75" customHeight="1" x14ac:dyDescent="0.2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5.75" customHeight="1" x14ac:dyDescent="0.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5.75" customHeight="1" x14ac:dyDescent="0.2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5.75" customHeight="1" x14ac:dyDescent="0.2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5.75" customHeight="1" x14ac:dyDescent="0.2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5.75" customHeight="1" x14ac:dyDescent="0.2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5.75" customHeight="1" x14ac:dyDescent="0.25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5.75" customHeight="1" x14ac:dyDescent="0.25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5.75" customHeight="1" x14ac:dyDescent="0.25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5.75" customHeight="1" x14ac:dyDescent="0.25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5.75" customHeight="1" x14ac:dyDescent="0.25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5.75" customHeight="1" x14ac:dyDescent="0.2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5.75" customHeight="1" x14ac:dyDescent="0.25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5.75" customHeight="1" x14ac:dyDescent="0.25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5.75" customHeight="1" x14ac:dyDescent="0.25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5.75" customHeight="1" x14ac:dyDescent="0.25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5.75" customHeight="1" x14ac:dyDescent="0.25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5.75" customHeight="1" x14ac:dyDescent="0.25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5.75" customHeight="1" x14ac:dyDescent="0.25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5.75" customHeight="1" x14ac:dyDescent="0.2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5.75" customHeight="1" x14ac:dyDescent="0.25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5.75" customHeight="1" x14ac:dyDescent="0.2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5.75" customHeight="1" x14ac:dyDescent="0.25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5.75" customHeight="1" x14ac:dyDescent="0.25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5.75" customHeight="1" x14ac:dyDescent="0.25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5.75" customHeight="1" x14ac:dyDescent="0.25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5.75" customHeight="1" x14ac:dyDescent="0.25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5.75" customHeight="1" x14ac:dyDescent="0.25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5.75" customHeight="1" x14ac:dyDescent="0.25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5.75" customHeight="1" x14ac:dyDescent="0.25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5.75" customHeight="1" x14ac:dyDescent="0.25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5.75" customHeight="1" x14ac:dyDescent="0.2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5.75" customHeight="1" x14ac:dyDescent="0.25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5.75" customHeight="1" x14ac:dyDescent="0.25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5.75" customHeight="1" x14ac:dyDescent="0.25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5.75" customHeight="1" x14ac:dyDescent="0.2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5.75" customHeight="1" x14ac:dyDescent="0.2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5.75" customHeight="1" x14ac:dyDescent="0.25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5.75" customHeight="1" x14ac:dyDescent="0.25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5.75" customHeight="1" x14ac:dyDescent="0.25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5.75" customHeight="1" x14ac:dyDescent="0.2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5.75" customHeight="1" x14ac:dyDescent="0.2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5.75" customHeight="1" x14ac:dyDescent="0.2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5.75" customHeight="1" x14ac:dyDescent="0.2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5.75" customHeight="1" x14ac:dyDescent="0.2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5.75" customHeight="1" x14ac:dyDescent="0.25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5.75" customHeight="1" x14ac:dyDescent="0.25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5.75" customHeight="1" x14ac:dyDescent="0.25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5.75" customHeight="1" x14ac:dyDescent="0.25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5.75" customHeight="1" x14ac:dyDescent="0.25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5.75" customHeight="1" x14ac:dyDescent="0.25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5.75" customHeight="1" x14ac:dyDescent="0.2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5.75" customHeight="1" x14ac:dyDescent="0.25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5.75" customHeight="1" x14ac:dyDescent="0.25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5.75" customHeight="1" x14ac:dyDescent="0.25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5.75" customHeight="1" x14ac:dyDescent="0.25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5.75" customHeight="1" x14ac:dyDescent="0.2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5.75" customHeight="1" x14ac:dyDescent="0.2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5.75" customHeight="1" x14ac:dyDescent="0.25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5.75" customHeight="1" x14ac:dyDescent="0.25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5.75" customHeight="1" x14ac:dyDescent="0.25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5.75" customHeight="1" x14ac:dyDescent="0.2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5.75" customHeight="1" x14ac:dyDescent="0.25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5.75" customHeight="1" x14ac:dyDescent="0.25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5.75" customHeight="1" x14ac:dyDescent="0.25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5.75" customHeight="1" x14ac:dyDescent="0.25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5.75" customHeight="1" x14ac:dyDescent="0.25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5.75" customHeight="1" x14ac:dyDescent="0.25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5.75" customHeight="1" x14ac:dyDescent="0.25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5.75" customHeight="1" x14ac:dyDescent="0.25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5.75" customHeight="1" x14ac:dyDescent="0.25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5.75" customHeight="1" x14ac:dyDescent="0.2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5.75" customHeight="1" x14ac:dyDescent="0.25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5.75" customHeight="1" x14ac:dyDescent="0.25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5.75" customHeight="1" x14ac:dyDescent="0.25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5.75" customHeight="1" x14ac:dyDescent="0.25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5.75" customHeight="1" x14ac:dyDescent="0.25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5.75" customHeight="1" x14ac:dyDescent="0.25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5.75" customHeight="1" x14ac:dyDescent="0.25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5.75" customHeight="1" x14ac:dyDescent="0.25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5.75" customHeight="1" x14ac:dyDescent="0.25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5.75" customHeight="1" x14ac:dyDescent="0.2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5.75" customHeight="1" x14ac:dyDescent="0.25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5.75" customHeight="1" x14ac:dyDescent="0.25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5.75" customHeight="1" x14ac:dyDescent="0.25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5.75" customHeight="1" x14ac:dyDescent="0.25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5.75" customHeight="1" x14ac:dyDescent="0.25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5.75" customHeight="1" x14ac:dyDescent="0.25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5.75" customHeight="1" x14ac:dyDescent="0.25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5.75" customHeight="1" x14ac:dyDescent="0.25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5.75" customHeight="1" x14ac:dyDescent="0.25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5.75" customHeight="1" x14ac:dyDescent="0.2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5.75" customHeight="1" x14ac:dyDescent="0.25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5.75" customHeight="1" x14ac:dyDescent="0.25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5.75" customHeight="1" x14ac:dyDescent="0.25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5.75" customHeight="1" x14ac:dyDescent="0.25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5.75" customHeight="1" x14ac:dyDescent="0.25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5.75" customHeight="1" x14ac:dyDescent="0.25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5.75" customHeight="1" x14ac:dyDescent="0.25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5.75" customHeight="1" x14ac:dyDescent="0.25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5.75" customHeight="1" x14ac:dyDescent="0.25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5.75" customHeight="1" x14ac:dyDescent="0.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5.75" customHeight="1" x14ac:dyDescent="0.25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5.75" customHeight="1" x14ac:dyDescent="0.25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5.75" customHeight="1" x14ac:dyDescent="0.25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5.75" customHeight="1" x14ac:dyDescent="0.25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5.75" customHeight="1" x14ac:dyDescent="0.25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5.75" customHeight="1" x14ac:dyDescent="0.25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5.75" customHeight="1" x14ac:dyDescent="0.25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5.75" customHeight="1" x14ac:dyDescent="0.25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5.75" customHeight="1" x14ac:dyDescent="0.25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5.75" customHeight="1" x14ac:dyDescent="0.2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5.75" customHeight="1" x14ac:dyDescent="0.25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5.75" customHeight="1" x14ac:dyDescent="0.25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5.75" customHeight="1" x14ac:dyDescent="0.25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5.75" customHeight="1" x14ac:dyDescent="0.25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5.75" customHeight="1" x14ac:dyDescent="0.25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5.75" customHeight="1" x14ac:dyDescent="0.25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5.75" customHeight="1" x14ac:dyDescent="0.25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5.75" customHeight="1" x14ac:dyDescent="0.25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5.75" customHeight="1" x14ac:dyDescent="0.25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5.75" customHeight="1" x14ac:dyDescent="0.2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5.75" customHeight="1" x14ac:dyDescent="0.25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5.75" customHeight="1" x14ac:dyDescent="0.25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5.75" customHeight="1" x14ac:dyDescent="0.25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5.75" customHeight="1" x14ac:dyDescent="0.25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5.75" customHeight="1" x14ac:dyDescent="0.25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5.75" customHeight="1" x14ac:dyDescent="0.25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5.75" customHeight="1" x14ac:dyDescent="0.25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5.75" customHeight="1" x14ac:dyDescent="0.25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5.75" customHeight="1" x14ac:dyDescent="0.25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5.75" customHeight="1" x14ac:dyDescent="0.2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5.75" customHeight="1" x14ac:dyDescent="0.25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5.75" customHeight="1" x14ac:dyDescent="0.25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5.75" customHeight="1" x14ac:dyDescent="0.25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5.75" customHeight="1" x14ac:dyDescent="0.25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5.75" customHeight="1" x14ac:dyDescent="0.25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5.75" customHeight="1" x14ac:dyDescent="0.25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5.75" customHeight="1" x14ac:dyDescent="0.25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5.75" customHeight="1" x14ac:dyDescent="0.25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5.75" customHeight="1" x14ac:dyDescent="0.25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5.75" customHeight="1" x14ac:dyDescent="0.2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5.75" customHeight="1" x14ac:dyDescent="0.25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5.75" customHeight="1" x14ac:dyDescent="0.25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5.75" customHeight="1" x14ac:dyDescent="0.25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5.75" customHeight="1" x14ac:dyDescent="0.25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5.75" customHeight="1" x14ac:dyDescent="0.25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5.75" customHeight="1" x14ac:dyDescent="0.25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5.75" customHeight="1" x14ac:dyDescent="0.25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5.75" customHeight="1" x14ac:dyDescent="0.25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5.75" customHeight="1" x14ac:dyDescent="0.25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5.75" customHeight="1" x14ac:dyDescent="0.2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5.75" customHeight="1" x14ac:dyDescent="0.25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5.75" customHeight="1" x14ac:dyDescent="0.25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5.75" customHeight="1" x14ac:dyDescent="0.25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5.75" customHeight="1" x14ac:dyDescent="0.25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5.75" customHeight="1" x14ac:dyDescent="0.25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5.75" customHeight="1" x14ac:dyDescent="0.25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5.75" customHeight="1" x14ac:dyDescent="0.25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5.75" customHeight="1" x14ac:dyDescent="0.25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5.75" customHeight="1" x14ac:dyDescent="0.25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5.75" customHeight="1" x14ac:dyDescent="0.2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5.75" customHeight="1" x14ac:dyDescent="0.25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5.75" customHeight="1" x14ac:dyDescent="0.25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5.75" customHeight="1" x14ac:dyDescent="0.25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5.75" customHeight="1" x14ac:dyDescent="0.25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5.75" customHeight="1" x14ac:dyDescent="0.25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5.75" customHeight="1" x14ac:dyDescent="0.25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5.75" customHeight="1" x14ac:dyDescent="0.25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5.75" customHeight="1" x14ac:dyDescent="0.25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5.75" customHeight="1" x14ac:dyDescent="0.25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5.75" customHeight="1" x14ac:dyDescent="0.2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5.75" customHeight="1" x14ac:dyDescent="0.25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5.75" customHeight="1" x14ac:dyDescent="0.25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5.75" customHeight="1" x14ac:dyDescent="0.25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5.75" customHeight="1" x14ac:dyDescent="0.25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5.75" customHeight="1" x14ac:dyDescent="0.25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5.75" customHeight="1" x14ac:dyDescent="0.25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5.75" customHeight="1" x14ac:dyDescent="0.25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5.75" customHeight="1" x14ac:dyDescent="0.25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5.75" customHeight="1" x14ac:dyDescent="0.25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5.75" customHeight="1" x14ac:dyDescent="0.2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5.75" customHeight="1" x14ac:dyDescent="0.25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5.75" customHeight="1" x14ac:dyDescent="0.25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5.75" customHeight="1" x14ac:dyDescent="0.25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5.75" customHeight="1" x14ac:dyDescent="0.25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5.75" customHeight="1" x14ac:dyDescent="0.25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5.75" customHeight="1" x14ac:dyDescent="0.25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5.75" customHeight="1" x14ac:dyDescent="0.25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5.75" customHeight="1" x14ac:dyDescent="0.25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5.75" customHeight="1" x14ac:dyDescent="0.25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5.75" customHeight="1" x14ac:dyDescent="0.2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5.75" customHeight="1" x14ac:dyDescent="0.25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5.75" customHeight="1" x14ac:dyDescent="0.25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5.75" customHeight="1" x14ac:dyDescent="0.25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5.75" customHeight="1" x14ac:dyDescent="0.25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5.75" customHeight="1" x14ac:dyDescent="0.25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5.75" customHeight="1" x14ac:dyDescent="0.25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5.75" customHeight="1" x14ac:dyDescent="0.25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5.75" customHeight="1" x14ac:dyDescent="0.25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5.75" customHeight="1" x14ac:dyDescent="0.25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5.75" customHeight="1" x14ac:dyDescent="0.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5.75" customHeight="1" x14ac:dyDescent="0.25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5.75" customHeight="1" x14ac:dyDescent="0.25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5.75" customHeight="1" x14ac:dyDescent="0.25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5.75" customHeight="1" x14ac:dyDescent="0.25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5.75" customHeight="1" x14ac:dyDescent="0.25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5.75" customHeight="1" x14ac:dyDescent="0.25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5.75" customHeight="1" x14ac:dyDescent="0.25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5.75" customHeight="1" x14ac:dyDescent="0.25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5.75" customHeight="1" x14ac:dyDescent="0.25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5.75" customHeight="1" x14ac:dyDescent="0.2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5.75" customHeight="1" x14ac:dyDescent="0.25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5.75" customHeight="1" x14ac:dyDescent="0.25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5.75" customHeight="1" x14ac:dyDescent="0.25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5.75" customHeight="1" x14ac:dyDescent="0.25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5.75" customHeight="1" x14ac:dyDescent="0.25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5.75" customHeight="1" x14ac:dyDescent="0.25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5.75" customHeight="1" x14ac:dyDescent="0.25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5.75" customHeight="1" x14ac:dyDescent="0.25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5.75" customHeight="1" x14ac:dyDescent="0.25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5.75" customHeight="1" x14ac:dyDescent="0.2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5.75" customHeight="1" x14ac:dyDescent="0.25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5.75" customHeight="1" x14ac:dyDescent="0.25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5.75" customHeight="1" x14ac:dyDescent="0.25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5.75" customHeight="1" x14ac:dyDescent="0.25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5.75" customHeight="1" x14ac:dyDescent="0.25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5.75" customHeight="1" x14ac:dyDescent="0.25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5.75" customHeight="1" x14ac:dyDescent="0.25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5.75" customHeight="1" x14ac:dyDescent="0.25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5.75" customHeight="1" x14ac:dyDescent="0.25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5.75" customHeight="1" x14ac:dyDescent="0.2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5.75" customHeight="1" x14ac:dyDescent="0.25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5.75" customHeight="1" x14ac:dyDescent="0.25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5.75" customHeight="1" x14ac:dyDescent="0.25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5.75" customHeight="1" x14ac:dyDescent="0.25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5.75" customHeight="1" x14ac:dyDescent="0.25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5.75" customHeight="1" x14ac:dyDescent="0.25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5.75" customHeight="1" x14ac:dyDescent="0.25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5.75" customHeight="1" x14ac:dyDescent="0.25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5.75" customHeight="1" x14ac:dyDescent="0.25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5.75" customHeight="1" x14ac:dyDescent="0.2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5.75" customHeight="1" x14ac:dyDescent="0.25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5.75" customHeight="1" x14ac:dyDescent="0.25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5.75" customHeight="1" x14ac:dyDescent="0.25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5.75" customHeight="1" x14ac:dyDescent="0.25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5.75" customHeight="1" x14ac:dyDescent="0.25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5.75" customHeight="1" x14ac:dyDescent="0.25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5.75" customHeight="1" x14ac:dyDescent="0.25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5.75" customHeight="1" x14ac:dyDescent="0.25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5.75" customHeight="1" x14ac:dyDescent="0.25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5.75" customHeight="1" x14ac:dyDescent="0.2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5.75" customHeight="1" x14ac:dyDescent="0.25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5.75" customHeight="1" x14ac:dyDescent="0.25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5.75" customHeight="1" x14ac:dyDescent="0.25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5.75" customHeight="1" x14ac:dyDescent="0.25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5.75" customHeight="1" x14ac:dyDescent="0.25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5.75" customHeight="1" x14ac:dyDescent="0.25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5.75" customHeight="1" x14ac:dyDescent="0.25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5.75" customHeight="1" x14ac:dyDescent="0.25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5.75" customHeight="1" x14ac:dyDescent="0.25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5.75" customHeight="1" x14ac:dyDescent="0.2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5.75" customHeight="1" x14ac:dyDescent="0.25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5.75" customHeight="1" x14ac:dyDescent="0.25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5.75" customHeight="1" x14ac:dyDescent="0.25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5.75" customHeight="1" x14ac:dyDescent="0.25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5.75" customHeight="1" x14ac:dyDescent="0.25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5.75" customHeight="1" x14ac:dyDescent="0.25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5.75" customHeight="1" x14ac:dyDescent="0.25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5.75" customHeight="1" x14ac:dyDescent="0.25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5.75" customHeight="1" x14ac:dyDescent="0.25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5.75" customHeight="1" x14ac:dyDescent="0.2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5.75" customHeight="1" x14ac:dyDescent="0.25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5.75" customHeight="1" x14ac:dyDescent="0.25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5.75" customHeight="1" x14ac:dyDescent="0.25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5.75" customHeight="1" x14ac:dyDescent="0.25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5.75" customHeight="1" x14ac:dyDescent="0.25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5.75" customHeight="1" x14ac:dyDescent="0.25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5.75" customHeight="1" x14ac:dyDescent="0.25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5.75" customHeight="1" x14ac:dyDescent="0.25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5.75" customHeight="1" x14ac:dyDescent="0.25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5.75" customHeight="1" x14ac:dyDescent="0.2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5.75" customHeight="1" x14ac:dyDescent="0.25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5.75" customHeight="1" x14ac:dyDescent="0.25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5.75" customHeight="1" x14ac:dyDescent="0.25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5.75" customHeight="1" x14ac:dyDescent="0.25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5.75" customHeight="1" x14ac:dyDescent="0.25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5.75" customHeight="1" x14ac:dyDescent="0.25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5.75" customHeight="1" x14ac:dyDescent="0.25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5.75" customHeight="1" x14ac:dyDescent="0.25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5.75" customHeight="1" x14ac:dyDescent="0.25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5.75" customHeight="1" x14ac:dyDescent="0.2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5.75" customHeight="1" x14ac:dyDescent="0.25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5.75" customHeight="1" x14ac:dyDescent="0.25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5.75" customHeight="1" x14ac:dyDescent="0.25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5.75" customHeight="1" x14ac:dyDescent="0.25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5.75" customHeight="1" x14ac:dyDescent="0.25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5.75" customHeight="1" x14ac:dyDescent="0.25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5.75" customHeight="1" x14ac:dyDescent="0.25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5.75" customHeight="1" x14ac:dyDescent="0.25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5.75" customHeight="1" x14ac:dyDescent="0.25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5.75" customHeight="1" x14ac:dyDescent="0.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5.75" customHeight="1" x14ac:dyDescent="0.25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5.75" customHeight="1" x14ac:dyDescent="0.25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5.75" customHeight="1" x14ac:dyDescent="0.25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5.75" customHeight="1" x14ac:dyDescent="0.25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5.75" customHeight="1" x14ac:dyDescent="0.25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5.75" customHeight="1" x14ac:dyDescent="0.25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5.75" customHeight="1" x14ac:dyDescent="0.25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5.75" customHeight="1" x14ac:dyDescent="0.25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5.75" customHeight="1" x14ac:dyDescent="0.25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5.75" customHeight="1" x14ac:dyDescent="0.2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5.75" customHeight="1" x14ac:dyDescent="0.25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5.75" customHeight="1" x14ac:dyDescent="0.25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5.75" customHeight="1" x14ac:dyDescent="0.25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5.75" customHeight="1" x14ac:dyDescent="0.25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5.75" customHeight="1" x14ac:dyDescent="0.25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5.75" customHeight="1" x14ac:dyDescent="0.25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5.75" customHeight="1" x14ac:dyDescent="0.25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5.75" customHeight="1" x14ac:dyDescent="0.25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5.75" customHeight="1" x14ac:dyDescent="0.25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5.75" customHeight="1" x14ac:dyDescent="0.2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5.75" customHeight="1" x14ac:dyDescent="0.25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5.75" customHeight="1" x14ac:dyDescent="0.25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5.75" customHeight="1" x14ac:dyDescent="0.25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5.75" customHeight="1" x14ac:dyDescent="0.25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5.75" customHeight="1" x14ac:dyDescent="0.25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5.75" customHeight="1" x14ac:dyDescent="0.25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5.75" customHeight="1" x14ac:dyDescent="0.25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5.75" customHeight="1" x14ac:dyDescent="0.25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5.75" customHeight="1" x14ac:dyDescent="0.25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5.75" customHeight="1" x14ac:dyDescent="0.2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5.75" customHeight="1" x14ac:dyDescent="0.25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5.75" customHeight="1" x14ac:dyDescent="0.25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5.75" customHeight="1" x14ac:dyDescent="0.25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5.75" customHeight="1" x14ac:dyDescent="0.25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5.75" customHeight="1" x14ac:dyDescent="0.25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5.75" customHeight="1" x14ac:dyDescent="0.25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5.75" customHeight="1" x14ac:dyDescent="0.25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5.75" customHeight="1" x14ac:dyDescent="0.25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5.75" customHeight="1" x14ac:dyDescent="0.25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5.75" customHeight="1" x14ac:dyDescent="0.2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5.75" customHeight="1" x14ac:dyDescent="0.25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5.75" customHeight="1" x14ac:dyDescent="0.25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5.75" customHeight="1" x14ac:dyDescent="0.25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5.75" customHeight="1" x14ac:dyDescent="0.25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5.75" customHeight="1" x14ac:dyDescent="0.25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5.75" customHeight="1" x14ac:dyDescent="0.25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5.75" customHeight="1" x14ac:dyDescent="0.25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5.75" customHeight="1" x14ac:dyDescent="0.25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5.75" customHeight="1" x14ac:dyDescent="0.25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5.75" customHeight="1" x14ac:dyDescent="0.2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5.75" customHeight="1" x14ac:dyDescent="0.25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5.75" customHeight="1" x14ac:dyDescent="0.25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5.75" customHeight="1" x14ac:dyDescent="0.25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5.75" customHeight="1" x14ac:dyDescent="0.25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5.75" customHeight="1" x14ac:dyDescent="0.25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5.75" customHeight="1" x14ac:dyDescent="0.25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5.75" customHeight="1" x14ac:dyDescent="0.25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5.75" customHeight="1" x14ac:dyDescent="0.25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5.75" customHeight="1" x14ac:dyDescent="0.25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5.75" customHeight="1" x14ac:dyDescent="0.2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5.75" customHeight="1" x14ac:dyDescent="0.25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5.75" customHeight="1" x14ac:dyDescent="0.25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5.75" customHeight="1" x14ac:dyDescent="0.25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5.75" customHeight="1" x14ac:dyDescent="0.25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5.75" customHeight="1" x14ac:dyDescent="0.25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5.75" customHeight="1" x14ac:dyDescent="0.25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5.75" customHeight="1" x14ac:dyDescent="0.25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5.75" customHeight="1" x14ac:dyDescent="0.25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5.75" customHeight="1" x14ac:dyDescent="0.25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5.75" customHeight="1" x14ac:dyDescent="0.2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5.75" customHeight="1" x14ac:dyDescent="0.25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5.75" customHeight="1" x14ac:dyDescent="0.25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5.75" customHeight="1" x14ac:dyDescent="0.25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5.75" customHeight="1" x14ac:dyDescent="0.25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5.75" customHeight="1" x14ac:dyDescent="0.25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5.75" customHeight="1" x14ac:dyDescent="0.25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5.75" customHeight="1" x14ac:dyDescent="0.25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5.75" customHeight="1" x14ac:dyDescent="0.25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5.75" customHeight="1" x14ac:dyDescent="0.25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5.75" customHeight="1" x14ac:dyDescent="0.2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5.75" customHeight="1" x14ac:dyDescent="0.25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5.75" customHeight="1" x14ac:dyDescent="0.25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5.75" customHeight="1" x14ac:dyDescent="0.25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5.75" customHeight="1" x14ac:dyDescent="0.25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5.75" customHeight="1" x14ac:dyDescent="0.25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5.75" customHeight="1" x14ac:dyDescent="0.25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5.75" customHeight="1" x14ac:dyDescent="0.25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5.75" customHeight="1" x14ac:dyDescent="0.25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5.75" customHeight="1" x14ac:dyDescent="0.25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5.75" customHeight="1" x14ac:dyDescent="0.2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5.75" customHeight="1" x14ac:dyDescent="0.25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5.75" customHeight="1" x14ac:dyDescent="0.25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5.75" customHeight="1" x14ac:dyDescent="0.25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5.75" customHeight="1" x14ac:dyDescent="0.25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5.75" customHeight="1" x14ac:dyDescent="0.25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5.75" customHeight="1" x14ac:dyDescent="0.25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5.75" customHeight="1" x14ac:dyDescent="0.25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5.75" customHeight="1" x14ac:dyDescent="0.25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5.75" customHeight="1" x14ac:dyDescent="0.25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5.75" customHeight="1" x14ac:dyDescent="0.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5.75" customHeight="1" x14ac:dyDescent="0.25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5.75" customHeight="1" x14ac:dyDescent="0.25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5.75" customHeight="1" x14ac:dyDescent="0.25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5.75" customHeight="1" x14ac:dyDescent="0.25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5.75" customHeight="1" x14ac:dyDescent="0.25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5.75" customHeight="1" x14ac:dyDescent="0.25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5.75" customHeight="1" x14ac:dyDescent="0.25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5.75" customHeight="1" x14ac:dyDescent="0.25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5.75" customHeight="1" x14ac:dyDescent="0.25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5.75" customHeight="1" x14ac:dyDescent="0.2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5.75" customHeight="1" x14ac:dyDescent="0.25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5.75" customHeight="1" x14ac:dyDescent="0.25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5.75" customHeight="1" x14ac:dyDescent="0.25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5.75" customHeight="1" x14ac:dyDescent="0.25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5.75" customHeight="1" x14ac:dyDescent="0.25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5.75" customHeight="1" x14ac:dyDescent="0.25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5.75" customHeight="1" x14ac:dyDescent="0.25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5.75" customHeight="1" x14ac:dyDescent="0.25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5.75" customHeight="1" x14ac:dyDescent="0.25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5.75" customHeight="1" x14ac:dyDescent="0.2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5.75" customHeight="1" x14ac:dyDescent="0.25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5.75" customHeight="1" x14ac:dyDescent="0.25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5.75" customHeight="1" x14ac:dyDescent="0.25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5.75" customHeight="1" x14ac:dyDescent="0.25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5.75" customHeight="1" x14ac:dyDescent="0.25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5.75" customHeight="1" x14ac:dyDescent="0.25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5.75" customHeight="1" x14ac:dyDescent="0.25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5.75" customHeight="1" x14ac:dyDescent="0.25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5.75" customHeight="1" x14ac:dyDescent="0.25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5.75" customHeight="1" x14ac:dyDescent="0.2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5.75" customHeight="1" x14ac:dyDescent="0.25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5.75" customHeight="1" x14ac:dyDescent="0.25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5.75" customHeight="1" x14ac:dyDescent="0.25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5.75" customHeight="1" x14ac:dyDescent="0.25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5.75" customHeight="1" x14ac:dyDescent="0.25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5.75" customHeight="1" x14ac:dyDescent="0.25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5.75" customHeight="1" x14ac:dyDescent="0.25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5.75" customHeight="1" x14ac:dyDescent="0.25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5.75" customHeight="1" x14ac:dyDescent="0.25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5.75" customHeight="1" x14ac:dyDescent="0.2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5.75" customHeight="1" x14ac:dyDescent="0.25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5.75" customHeight="1" x14ac:dyDescent="0.25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5.75" customHeight="1" x14ac:dyDescent="0.25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5.75" customHeight="1" x14ac:dyDescent="0.25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5.75" customHeight="1" x14ac:dyDescent="0.25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5.75" customHeight="1" x14ac:dyDescent="0.25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5.75" customHeight="1" x14ac:dyDescent="0.25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5.75" customHeight="1" x14ac:dyDescent="0.25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5.75" customHeight="1" x14ac:dyDescent="0.25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5.75" customHeight="1" x14ac:dyDescent="0.2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5.75" customHeight="1" x14ac:dyDescent="0.25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5.75" customHeight="1" x14ac:dyDescent="0.25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5.75" customHeight="1" x14ac:dyDescent="0.25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5.75" customHeight="1" x14ac:dyDescent="0.25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5.75" customHeight="1" x14ac:dyDescent="0.25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5.75" customHeight="1" x14ac:dyDescent="0.25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5.75" customHeight="1" x14ac:dyDescent="0.25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5.75" customHeight="1" x14ac:dyDescent="0.25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5.75" customHeight="1" x14ac:dyDescent="0.25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5.75" customHeight="1" x14ac:dyDescent="0.2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5.75" customHeight="1" x14ac:dyDescent="0.25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5.75" customHeight="1" x14ac:dyDescent="0.25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5.75" customHeight="1" x14ac:dyDescent="0.25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5.75" customHeight="1" x14ac:dyDescent="0.25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5.75" customHeight="1" x14ac:dyDescent="0.25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5.75" customHeight="1" x14ac:dyDescent="0.25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5.75" customHeight="1" x14ac:dyDescent="0.25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5.75" customHeight="1" x14ac:dyDescent="0.25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5.75" customHeight="1" x14ac:dyDescent="0.25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5.75" customHeight="1" x14ac:dyDescent="0.2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5.75" customHeight="1" x14ac:dyDescent="0.25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5.75" customHeight="1" x14ac:dyDescent="0.25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5.75" customHeight="1" x14ac:dyDescent="0.25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5.75" customHeight="1" x14ac:dyDescent="0.25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5.75" customHeight="1" x14ac:dyDescent="0.25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5.75" customHeight="1" x14ac:dyDescent="0.25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5.75" customHeight="1" x14ac:dyDescent="0.25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5.75" customHeight="1" x14ac:dyDescent="0.25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5.75" customHeight="1" x14ac:dyDescent="0.25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5.75" customHeight="1" x14ac:dyDescent="0.2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5.75" customHeight="1" x14ac:dyDescent="0.25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5.75" customHeight="1" x14ac:dyDescent="0.25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5.75" customHeight="1" x14ac:dyDescent="0.25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5.75" customHeight="1" x14ac:dyDescent="0.25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5.75" customHeight="1" x14ac:dyDescent="0.25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5.75" customHeight="1" x14ac:dyDescent="0.25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5.75" customHeight="1" x14ac:dyDescent="0.25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5.75" customHeight="1" x14ac:dyDescent="0.25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5.75" customHeight="1" x14ac:dyDescent="0.25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5.75" customHeight="1" x14ac:dyDescent="0.2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5.75" customHeight="1" x14ac:dyDescent="0.25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5.75" customHeight="1" x14ac:dyDescent="0.25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5.75" customHeight="1" x14ac:dyDescent="0.25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5.75" customHeight="1" x14ac:dyDescent="0.25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5.75" customHeight="1" x14ac:dyDescent="0.25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5.75" customHeight="1" x14ac:dyDescent="0.25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5.75" customHeight="1" x14ac:dyDescent="0.25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5.75" customHeight="1" x14ac:dyDescent="0.25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5.75" customHeight="1" x14ac:dyDescent="0.25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5.75" customHeight="1" x14ac:dyDescent="0.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5.75" customHeight="1" x14ac:dyDescent="0.25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5.75" customHeight="1" x14ac:dyDescent="0.25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5.75" customHeight="1" x14ac:dyDescent="0.25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5.75" customHeight="1" x14ac:dyDescent="0.25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5.75" customHeight="1" x14ac:dyDescent="0.25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5.75" customHeight="1" x14ac:dyDescent="0.25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5.75" customHeight="1" x14ac:dyDescent="0.25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5.75" customHeight="1" x14ac:dyDescent="0.25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5.75" customHeight="1" x14ac:dyDescent="0.25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5.75" customHeight="1" x14ac:dyDescent="0.2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5.75" customHeight="1" x14ac:dyDescent="0.25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5.75" customHeight="1" x14ac:dyDescent="0.25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5.75" customHeight="1" x14ac:dyDescent="0.25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5.75" customHeight="1" x14ac:dyDescent="0.25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5.75" customHeight="1" x14ac:dyDescent="0.25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5.75" customHeight="1" x14ac:dyDescent="0.25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5.75" customHeight="1" x14ac:dyDescent="0.25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5.75" customHeight="1" x14ac:dyDescent="0.25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5.75" customHeight="1" x14ac:dyDescent="0.25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5.75" customHeight="1" x14ac:dyDescent="0.2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5.75" customHeight="1" x14ac:dyDescent="0.25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5.75" customHeight="1" x14ac:dyDescent="0.25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5.75" customHeight="1" x14ac:dyDescent="0.25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5.75" customHeight="1" x14ac:dyDescent="0.25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5.75" customHeight="1" x14ac:dyDescent="0.25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5.75" customHeight="1" x14ac:dyDescent="0.25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5.75" customHeight="1" x14ac:dyDescent="0.25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5.75" customHeight="1" x14ac:dyDescent="0.25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5.75" customHeight="1" x14ac:dyDescent="0.25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5.75" customHeight="1" x14ac:dyDescent="0.2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5.75" customHeight="1" x14ac:dyDescent="0.25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5.75" customHeight="1" x14ac:dyDescent="0.25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5.75" customHeight="1" x14ac:dyDescent="0.25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5.75" customHeight="1" x14ac:dyDescent="0.25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5.75" customHeight="1" x14ac:dyDescent="0.25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5.75" customHeight="1" x14ac:dyDescent="0.25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5.75" customHeight="1" x14ac:dyDescent="0.25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5.75" customHeight="1" x14ac:dyDescent="0.25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5.75" customHeight="1" x14ac:dyDescent="0.25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5.75" customHeight="1" x14ac:dyDescent="0.2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5.75" customHeight="1" x14ac:dyDescent="0.25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5.75" customHeight="1" x14ac:dyDescent="0.25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5.75" customHeight="1" x14ac:dyDescent="0.25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5.75" customHeight="1" x14ac:dyDescent="0.25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5.75" customHeight="1" x14ac:dyDescent="0.25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5.75" customHeight="1" x14ac:dyDescent="0.25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5.75" customHeight="1" x14ac:dyDescent="0.25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5.75" customHeight="1" x14ac:dyDescent="0.25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5.75" customHeight="1" x14ac:dyDescent="0.25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5.75" customHeight="1" x14ac:dyDescent="0.2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5.75" customHeight="1" x14ac:dyDescent="0.25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5.75" customHeight="1" x14ac:dyDescent="0.25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5.75" customHeight="1" x14ac:dyDescent="0.25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5.75" customHeight="1" x14ac:dyDescent="0.25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5.75" customHeight="1" x14ac:dyDescent="0.25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5.75" customHeight="1" x14ac:dyDescent="0.25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5.75" customHeight="1" x14ac:dyDescent="0.25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5.75" customHeight="1" x14ac:dyDescent="0.25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5.75" customHeight="1" x14ac:dyDescent="0.25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5.75" customHeight="1" x14ac:dyDescent="0.2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5.75" customHeight="1" x14ac:dyDescent="0.25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5.75" customHeight="1" x14ac:dyDescent="0.25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5.75" customHeight="1" x14ac:dyDescent="0.25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5.75" customHeight="1" x14ac:dyDescent="0.25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5.75" customHeight="1" x14ac:dyDescent="0.25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5.75" customHeight="1" x14ac:dyDescent="0.25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5.75" customHeight="1" x14ac:dyDescent="0.25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5.75" customHeight="1" x14ac:dyDescent="0.25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5.75" customHeight="1" x14ac:dyDescent="0.25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5.75" customHeight="1" x14ac:dyDescent="0.2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5.75" customHeight="1" x14ac:dyDescent="0.25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5.75" customHeight="1" x14ac:dyDescent="0.25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5.75" customHeight="1" x14ac:dyDescent="0.25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5.75" customHeight="1" x14ac:dyDescent="0.25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5.75" customHeight="1" x14ac:dyDescent="0.25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ageMargins left="0.7" right="0.7" top="0.75" bottom="0.75" header="0" footer="0"/>
  <pageSetup orientation="portrait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000"/>
  <sheetViews>
    <sheetView showGridLines="0" tabSelected="1" workbookViewId="0">
      <pane xSplit="1" ySplit="1" topLeftCell="D2" activePane="bottomRight" state="frozen"/>
      <selection pane="topRight" activeCell="B1" sqref="B1"/>
      <selection pane="bottomLeft" activeCell="A2" sqref="A2"/>
      <selection pane="bottomRight" activeCell="I8" sqref="I8"/>
    </sheetView>
  </sheetViews>
  <sheetFormatPr defaultColWidth="12.6640625" defaultRowHeight="15" customHeight="1" x14ac:dyDescent="0.25"/>
  <cols>
    <col min="1" max="1" width="23.44140625" customWidth="1"/>
    <col min="2" max="6" width="27" customWidth="1"/>
    <col min="7" max="7" width="23.5546875" customWidth="1"/>
    <col min="8" max="8" width="29.44140625" customWidth="1"/>
    <col min="9" max="9" width="27" customWidth="1"/>
    <col min="10" max="10" width="29.21875" customWidth="1"/>
    <col min="11" max="12" width="25.21875" customWidth="1"/>
    <col min="13" max="15" width="30.44140625" customWidth="1"/>
    <col min="16" max="16" width="28.33203125" customWidth="1"/>
    <col min="17" max="20" width="32.88671875" customWidth="1"/>
    <col min="21" max="21" width="26.5546875" bestFit="1" customWidth="1"/>
    <col min="22" max="22" width="26.88671875" bestFit="1" customWidth="1"/>
    <col min="23" max="23" width="33.6640625" customWidth="1"/>
    <col min="24" max="24" width="29.5546875" customWidth="1"/>
    <col min="25" max="26" width="30.21875" customWidth="1"/>
    <col min="27" max="28" width="19.6640625" customWidth="1"/>
    <col min="29" max="29" width="14.21875" customWidth="1"/>
    <col min="30" max="32" width="12.6640625" customWidth="1"/>
    <col min="33" max="33" width="25.6640625" customWidth="1"/>
    <col min="34" max="34" width="27" customWidth="1"/>
  </cols>
  <sheetData>
    <row r="1" spans="1:35" ht="15.75" customHeight="1" x14ac:dyDescent="0.25">
      <c r="A1" s="1"/>
      <c r="B1" s="15" t="s">
        <v>19</v>
      </c>
      <c r="C1" s="15" t="s">
        <v>20</v>
      </c>
      <c r="D1" s="15" t="s">
        <v>21</v>
      </c>
      <c r="E1" s="15" t="s">
        <v>22</v>
      </c>
      <c r="F1" s="15" t="s">
        <v>23</v>
      </c>
      <c r="G1" s="15" t="s">
        <v>24</v>
      </c>
      <c r="H1" s="15" t="s">
        <v>25</v>
      </c>
      <c r="I1" s="15" t="s">
        <v>64</v>
      </c>
      <c r="J1" s="15" t="s">
        <v>26</v>
      </c>
      <c r="K1" s="15" t="s">
        <v>27</v>
      </c>
      <c r="L1" s="15" t="s">
        <v>28</v>
      </c>
      <c r="M1" s="15" t="s">
        <v>29</v>
      </c>
      <c r="N1" s="15" t="s">
        <v>30</v>
      </c>
      <c r="O1" s="15" t="s">
        <v>31</v>
      </c>
      <c r="P1" s="15" t="s">
        <v>32</v>
      </c>
      <c r="Q1" s="15" t="s">
        <v>33</v>
      </c>
      <c r="R1" s="15" t="s">
        <v>34</v>
      </c>
      <c r="S1" s="15" t="s">
        <v>35</v>
      </c>
      <c r="T1" s="15" t="s">
        <v>36</v>
      </c>
      <c r="U1" s="16" t="s">
        <v>60</v>
      </c>
      <c r="V1" s="16" t="s">
        <v>62</v>
      </c>
      <c r="W1" s="16" t="s">
        <v>63</v>
      </c>
      <c r="X1" s="17" t="s">
        <v>37</v>
      </c>
      <c r="Y1" s="17" t="s">
        <v>38</v>
      </c>
      <c r="Z1" s="17" t="s">
        <v>39</v>
      </c>
      <c r="AA1" s="17" t="s">
        <v>40</v>
      </c>
      <c r="AB1" s="17" t="s">
        <v>41</v>
      </c>
      <c r="AC1" s="17" t="s">
        <v>42</v>
      </c>
      <c r="AD1" s="17" t="s">
        <v>8</v>
      </c>
      <c r="AE1" s="17" t="s">
        <v>9</v>
      </c>
      <c r="AF1" s="17" t="s">
        <v>10</v>
      </c>
      <c r="AG1" s="17" t="s">
        <v>11</v>
      </c>
      <c r="AH1" s="17" t="s">
        <v>43</v>
      </c>
      <c r="AI1" s="15" t="s">
        <v>61</v>
      </c>
    </row>
    <row r="2" spans="1:35" ht="15.75" customHeight="1" x14ac:dyDescent="0.25">
      <c r="A2" s="18" t="s">
        <v>44</v>
      </c>
      <c r="B2" s="19">
        <v>30</v>
      </c>
      <c r="C2" s="19">
        <v>30</v>
      </c>
      <c r="D2" s="19">
        <v>30</v>
      </c>
      <c r="E2" s="19">
        <v>30</v>
      </c>
      <c r="F2" s="19">
        <v>20</v>
      </c>
      <c r="G2" s="20">
        <v>45</v>
      </c>
      <c r="H2" s="20">
        <v>50</v>
      </c>
      <c r="I2" s="19">
        <v>30</v>
      </c>
      <c r="J2" s="20">
        <v>35</v>
      </c>
      <c r="K2" s="20">
        <v>35</v>
      </c>
      <c r="L2" s="21">
        <v>35</v>
      </c>
      <c r="M2" s="9">
        <v>25</v>
      </c>
      <c r="N2" s="9">
        <v>25</v>
      </c>
      <c r="O2" s="9">
        <v>25</v>
      </c>
      <c r="P2" s="22">
        <v>40</v>
      </c>
      <c r="Q2" s="22">
        <v>40</v>
      </c>
      <c r="R2" s="22">
        <v>40</v>
      </c>
      <c r="S2" s="22">
        <v>40</v>
      </c>
      <c r="T2" s="22">
        <v>40</v>
      </c>
      <c r="U2" s="23">
        <v>35</v>
      </c>
      <c r="V2" s="23">
        <v>35</v>
      </c>
      <c r="W2" s="23">
        <v>35</v>
      </c>
      <c r="X2" s="24">
        <v>50</v>
      </c>
      <c r="Y2" s="24">
        <v>50</v>
      </c>
      <c r="Z2" s="24">
        <v>50</v>
      </c>
      <c r="AA2" s="24">
        <v>30</v>
      </c>
      <c r="AB2" s="24">
        <v>35</v>
      </c>
      <c r="AC2" s="24">
        <v>30</v>
      </c>
      <c r="AD2" s="24">
        <v>40</v>
      </c>
      <c r="AE2" s="24">
        <v>55</v>
      </c>
      <c r="AF2" s="24">
        <v>40</v>
      </c>
      <c r="AG2" s="24">
        <v>40</v>
      </c>
      <c r="AH2" s="24">
        <v>40</v>
      </c>
      <c r="AI2" s="19">
        <v>25</v>
      </c>
    </row>
    <row r="3" spans="1:35" ht="15.75" customHeight="1" x14ac:dyDescent="0.25">
      <c r="A3" s="25" t="s">
        <v>45</v>
      </c>
      <c r="B3" s="26">
        <v>20</v>
      </c>
      <c r="C3" s="26">
        <v>20</v>
      </c>
      <c r="D3" s="26">
        <v>20</v>
      </c>
      <c r="E3" s="26">
        <v>20</v>
      </c>
      <c r="F3" s="26">
        <v>10</v>
      </c>
      <c r="G3" s="27">
        <v>35</v>
      </c>
      <c r="H3" s="27">
        <v>40</v>
      </c>
      <c r="I3" s="26">
        <v>20</v>
      </c>
      <c r="J3" s="27">
        <v>29</v>
      </c>
      <c r="K3" s="27">
        <v>29</v>
      </c>
      <c r="L3" s="28">
        <v>29</v>
      </c>
      <c r="M3" s="9">
        <v>15</v>
      </c>
      <c r="N3" s="9">
        <v>15</v>
      </c>
      <c r="O3" s="9">
        <v>15</v>
      </c>
      <c r="P3" s="22">
        <v>34</v>
      </c>
      <c r="Q3" s="22">
        <v>34</v>
      </c>
      <c r="R3" s="22">
        <v>34</v>
      </c>
      <c r="S3" s="22">
        <v>34</v>
      </c>
      <c r="T3" s="22">
        <v>34</v>
      </c>
      <c r="U3" s="26">
        <v>25</v>
      </c>
      <c r="V3" s="26">
        <v>25</v>
      </c>
      <c r="W3" s="26">
        <v>25</v>
      </c>
      <c r="X3" s="27">
        <v>40</v>
      </c>
      <c r="Y3" s="27">
        <v>40</v>
      </c>
      <c r="Z3" s="27">
        <v>40</v>
      </c>
      <c r="AA3" s="27">
        <v>20</v>
      </c>
      <c r="AB3" s="27">
        <v>25</v>
      </c>
      <c r="AC3" s="27">
        <v>20</v>
      </c>
      <c r="AD3" s="27">
        <v>30</v>
      </c>
      <c r="AE3" s="27">
        <v>45</v>
      </c>
      <c r="AF3" s="27">
        <v>30</v>
      </c>
      <c r="AG3" s="27">
        <v>30</v>
      </c>
      <c r="AH3" s="27">
        <v>30</v>
      </c>
      <c r="AI3" s="26">
        <v>15</v>
      </c>
    </row>
    <row r="4" spans="1:35" ht="15.75" customHeight="1" x14ac:dyDescent="0.25">
      <c r="A4" s="25" t="s">
        <v>12</v>
      </c>
      <c r="B4" s="29">
        <f t="shared" ref="B4:AH4" si="0">(B2+B3)/2</f>
        <v>25</v>
      </c>
      <c r="C4" s="29">
        <f t="shared" si="0"/>
        <v>25</v>
      </c>
      <c r="D4" s="29">
        <f t="shared" si="0"/>
        <v>25</v>
      </c>
      <c r="E4" s="29">
        <f t="shared" si="0"/>
        <v>25</v>
      </c>
      <c r="F4" s="29">
        <f t="shared" si="0"/>
        <v>15</v>
      </c>
      <c r="G4" s="29">
        <f t="shared" si="0"/>
        <v>40</v>
      </c>
      <c r="H4" s="29">
        <f t="shared" si="0"/>
        <v>45</v>
      </c>
      <c r="I4" s="29">
        <f t="shared" ref="I4" si="1">(I2+I3)/2</f>
        <v>25</v>
      </c>
      <c r="J4" s="29">
        <f t="shared" si="0"/>
        <v>32</v>
      </c>
      <c r="K4" s="29">
        <f t="shared" si="0"/>
        <v>32</v>
      </c>
      <c r="L4" s="29">
        <f t="shared" si="0"/>
        <v>32</v>
      </c>
      <c r="M4" s="29">
        <f t="shared" si="0"/>
        <v>20</v>
      </c>
      <c r="N4" s="29">
        <f t="shared" si="0"/>
        <v>20</v>
      </c>
      <c r="O4" s="29">
        <f t="shared" si="0"/>
        <v>20</v>
      </c>
      <c r="P4" s="29">
        <f t="shared" si="0"/>
        <v>37</v>
      </c>
      <c r="Q4" s="29">
        <f t="shared" si="0"/>
        <v>37</v>
      </c>
      <c r="R4" s="29">
        <f t="shared" si="0"/>
        <v>37</v>
      </c>
      <c r="S4" s="29">
        <f t="shared" si="0"/>
        <v>37</v>
      </c>
      <c r="T4" s="29">
        <f t="shared" si="0"/>
        <v>37</v>
      </c>
      <c r="U4" s="29">
        <f t="shared" si="0"/>
        <v>30</v>
      </c>
      <c r="V4" s="29">
        <f t="shared" ref="V4:W4" si="2">(V2+V3)/2</f>
        <v>30</v>
      </c>
      <c r="W4" s="29">
        <f t="shared" si="2"/>
        <v>30</v>
      </c>
      <c r="X4" s="29">
        <f t="shared" si="0"/>
        <v>45</v>
      </c>
      <c r="Y4" s="29">
        <f t="shared" si="0"/>
        <v>45</v>
      </c>
      <c r="Z4" s="29">
        <f t="shared" si="0"/>
        <v>45</v>
      </c>
      <c r="AA4" s="29">
        <f t="shared" si="0"/>
        <v>25</v>
      </c>
      <c r="AB4" s="29">
        <f t="shared" si="0"/>
        <v>30</v>
      </c>
      <c r="AC4" s="29">
        <f t="shared" si="0"/>
        <v>25</v>
      </c>
      <c r="AD4" s="29">
        <f t="shared" si="0"/>
        <v>35</v>
      </c>
      <c r="AE4" s="29">
        <f t="shared" si="0"/>
        <v>50</v>
      </c>
      <c r="AF4" s="29">
        <f t="shared" si="0"/>
        <v>35</v>
      </c>
      <c r="AG4" s="30">
        <f t="shared" si="0"/>
        <v>35</v>
      </c>
      <c r="AH4" s="30">
        <f t="shared" si="0"/>
        <v>35</v>
      </c>
      <c r="AI4" s="29">
        <f t="shared" ref="AI4" si="3">(AI2+AI3)/2</f>
        <v>20</v>
      </c>
    </row>
    <row r="5" spans="1:35" ht="15.75" customHeight="1" x14ac:dyDescent="0.25">
      <c r="A5" s="8" t="s">
        <v>46</v>
      </c>
      <c r="B5" s="19">
        <v>30</v>
      </c>
      <c r="C5" s="19">
        <v>30</v>
      </c>
      <c r="D5" s="19">
        <v>30</v>
      </c>
      <c r="E5" s="19">
        <v>30</v>
      </c>
      <c r="F5" s="19">
        <v>30</v>
      </c>
      <c r="G5" s="20">
        <v>25</v>
      </c>
      <c r="H5" s="20">
        <v>20</v>
      </c>
      <c r="I5" s="19">
        <v>20</v>
      </c>
      <c r="J5" s="20">
        <v>35</v>
      </c>
      <c r="K5" s="20">
        <v>35</v>
      </c>
      <c r="L5" s="21">
        <v>35</v>
      </c>
      <c r="M5" s="9">
        <v>25</v>
      </c>
      <c r="N5" s="9">
        <v>25</v>
      </c>
      <c r="O5" s="9">
        <v>25</v>
      </c>
      <c r="P5" s="22">
        <v>40</v>
      </c>
      <c r="Q5" s="22">
        <v>40</v>
      </c>
      <c r="R5" s="22">
        <v>40</v>
      </c>
      <c r="S5" s="22">
        <v>40</v>
      </c>
      <c r="T5" s="22">
        <v>40</v>
      </c>
      <c r="U5" s="19">
        <v>35</v>
      </c>
      <c r="V5" s="19">
        <v>35</v>
      </c>
      <c r="W5" s="19">
        <v>35</v>
      </c>
      <c r="X5" s="20">
        <v>25</v>
      </c>
      <c r="Y5" s="20">
        <v>25</v>
      </c>
      <c r="Z5" s="20">
        <v>25</v>
      </c>
      <c r="AA5" s="20">
        <v>45</v>
      </c>
      <c r="AB5" s="20">
        <v>35</v>
      </c>
      <c r="AC5" s="20">
        <v>35</v>
      </c>
      <c r="AD5" s="20">
        <v>40</v>
      </c>
      <c r="AE5" s="20">
        <v>40</v>
      </c>
      <c r="AF5" s="20">
        <v>55</v>
      </c>
      <c r="AG5" s="20">
        <v>40</v>
      </c>
      <c r="AH5" s="20">
        <v>40</v>
      </c>
      <c r="AI5" s="19">
        <v>25</v>
      </c>
    </row>
    <row r="6" spans="1:35" ht="15.75" customHeight="1" x14ac:dyDescent="0.25">
      <c r="A6" s="31" t="s">
        <v>47</v>
      </c>
      <c r="B6" s="27">
        <v>20</v>
      </c>
      <c r="C6" s="27">
        <v>20</v>
      </c>
      <c r="D6" s="27">
        <v>20</v>
      </c>
      <c r="E6" s="27">
        <v>20</v>
      </c>
      <c r="F6" s="27">
        <v>20</v>
      </c>
      <c r="G6" s="27">
        <v>15</v>
      </c>
      <c r="H6" s="27">
        <v>10</v>
      </c>
      <c r="I6" s="27">
        <v>10</v>
      </c>
      <c r="J6" s="27">
        <v>29</v>
      </c>
      <c r="K6" s="27">
        <v>29</v>
      </c>
      <c r="L6" s="27">
        <v>29</v>
      </c>
      <c r="M6" s="32">
        <v>15</v>
      </c>
      <c r="N6" s="32">
        <v>15</v>
      </c>
      <c r="O6" s="32">
        <v>15</v>
      </c>
      <c r="P6" s="22">
        <v>34</v>
      </c>
      <c r="Q6" s="22">
        <v>34</v>
      </c>
      <c r="R6" s="22">
        <v>34</v>
      </c>
      <c r="S6" s="22">
        <v>34</v>
      </c>
      <c r="T6" s="22">
        <v>34</v>
      </c>
      <c r="U6" s="26">
        <v>25</v>
      </c>
      <c r="V6" s="26">
        <v>25</v>
      </c>
      <c r="W6" s="26">
        <v>25</v>
      </c>
      <c r="X6" s="27">
        <v>15</v>
      </c>
      <c r="Y6" s="27">
        <v>15</v>
      </c>
      <c r="Z6" s="27">
        <v>15</v>
      </c>
      <c r="AA6" s="27">
        <v>35</v>
      </c>
      <c r="AB6" s="27">
        <v>25</v>
      </c>
      <c r="AC6" s="27">
        <v>25</v>
      </c>
      <c r="AD6" s="27">
        <v>30</v>
      </c>
      <c r="AE6" s="27">
        <v>30</v>
      </c>
      <c r="AF6" s="27">
        <v>45</v>
      </c>
      <c r="AG6" s="27">
        <v>30</v>
      </c>
      <c r="AH6" s="27">
        <v>30</v>
      </c>
      <c r="AI6" s="27">
        <v>15</v>
      </c>
    </row>
    <row r="7" spans="1:35" ht="13.5" customHeight="1" x14ac:dyDescent="0.25">
      <c r="A7" s="33" t="s">
        <v>13</v>
      </c>
      <c r="B7" s="34">
        <f t="shared" ref="B7:AH7" si="4">(B5+B6)/2</f>
        <v>25</v>
      </c>
      <c r="C7" s="34">
        <f t="shared" si="4"/>
        <v>25</v>
      </c>
      <c r="D7" s="34">
        <f t="shared" si="4"/>
        <v>25</v>
      </c>
      <c r="E7" s="34">
        <f t="shared" si="4"/>
        <v>25</v>
      </c>
      <c r="F7" s="34">
        <f t="shared" si="4"/>
        <v>25</v>
      </c>
      <c r="G7" s="34">
        <f t="shared" si="4"/>
        <v>20</v>
      </c>
      <c r="H7" s="34">
        <f t="shared" si="4"/>
        <v>15</v>
      </c>
      <c r="I7" s="34">
        <f t="shared" ref="I7" si="5">(I5+I6)/2</f>
        <v>15</v>
      </c>
      <c r="J7" s="34">
        <f t="shared" si="4"/>
        <v>32</v>
      </c>
      <c r="K7" s="34">
        <f t="shared" si="4"/>
        <v>32</v>
      </c>
      <c r="L7" s="34">
        <f t="shared" si="4"/>
        <v>32</v>
      </c>
      <c r="M7" s="34">
        <f t="shared" si="4"/>
        <v>20</v>
      </c>
      <c r="N7" s="34">
        <f t="shared" si="4"/>
        <v>20</v>
      </c>
      <c r="O7" s="34">
        <f t="shared" si="4"/>
        <v>20</v>
      </c>
      <c r="P7" s="34">
        <f t="shared" si="4"/>
        <v>37</v>
      </c>
      <c r="Q7" s="34">
        <f t="shared" si="4"/>
        <v>37</v>
      </c>
      <c r="R7" s="34">
        <f t="shared" si="4"/>
        <v>37</v>
      </c>
      <c r="S7" s="34">
        <f t="shared" si="4"/>
        <v>37</v>
      </c>
      <c r="T7" s="34">
        <f t="shared" si="4"/>
        <v>37</v>
      </c>
      <c r="U7" s="34">
        <f t="shared" si="4"/>
        <v>30</v>
      </c>
      <c r="V7" s="34">
        <f t="shared" ref="V7:W7" si="6">(V5+V6)/2</f>
        <v>30</v>
      </c>
      <c r="W7" s="34">
        <f t="shared" si="6"/>
        <v>30</v>
      </c>
      <c r="X7" s="34">
        <f t="shared" si="4"/>
        <v>20</v>
      </c>
      <c r="Y7" s="34">
        <f t="shared" si="4"/>
        <v>20</v>
      </c>
      <c r="Z7" s="34">
        <f t="shared" si="4"/>
        <v>20</v>
      </c>
      <c r="AA7" s="34">
        <f t="shared" si="4"/>
        <v>40</v>
      </c>
      <c r="AB7" s="34">
        <f t="shared" si="4"/>
        <v>30</v>
      </c>
      <c r="AC7" s="34">
        <f t="shared" si="4"/>
        <v>30</v>
      </c>
      <c r="AD7" s="34">
        <f t="shared" si="4"/>
        <v>35</v>
      </c>
      <c r="AE7" s="34">
        <f t="shared" si="4"/>
        <v>35</v>
      </c>
      <c r="AF7" s="34">
        <f t="shared" si="4"/>
        <v>50</v>
      </c>
      <c r="AG7" s="35">
        <f t="shared" si="4"/>
        <v>35</v>
      </c>
      <c r="AH7" s="35">
        <f t="shared" si="4"/>
        <v>35</v>
      </c>
      <c r="AI7" s="34">
        <f t="shared" ref="AI7" si="7">(AI5+AI6)/2</f>
        <v>20</v>
      </c>
    </row>
    <row r="8" spans="1:35" ht="15.75" customHeight="1" x14ac:dyDescent="0.25">
      <c r="A8" s="18" t="s">
        <v>48</v>
      </c>
      <c r="B8" s="19">
        <v>30</v>
      </c>
      <c r="C8" s="19">
        <v>30</v>
      </c>
      <c r="D8" s="19">
        <v>30</v>
      </c>
      <c r="E8" s="19">
        <v>30</v>
      </c>
      <c r="F8" s="19">
        <v>25</v>
      </c>
      <c r="G8" s="20">
        <v>20</v>
      </c>
      <c r="H8" s="20">
        <v>35</v>
      </c>
      <c r="I8" s="19">
        <v>25</v>
      </c>
      <c r="J8" s="20">
        <v>35</v>
      </c>
      <c r="K8" s="20">
        <v>35</v>
      </c>
      <c r="L8" s="20">
        <v>35</v>
      </c>
      <c r="M8" s="20">
        <v>25</v>
      </c>
      <c r="N8" s="20">
        <v>25</v>
      </c>
      <c r="O8" s="20">
        <v>25</v>
      </c>
      <c r="P8" s="22">
        <v>40</v>
      </c>
      <c r="Q8" s="22">
        <v>40</v>
      </c>
      <c r="R8" s="22">
        <v>40</v>
      </c>
      <c r="S8" s="22">
        <v>40</v>
      </c>
      <c r="T8" s="22">
        <v>40</v>
      </c>
      <c r="U8" s="19">
        <v>30</v>
      </c>
      <c r="V8" s="19">
        <v>30</v>
      </c>
      <c r="W8" s="19">
        <v>30</v>
      </c>
      <c r="X8" s="20">
        <v>30</v>
      </c>
      <c r="Y8" s="20">
        <v>30</v>
      </c>
      <c r="Z8" s="20">
        <v>30</v>
      </c>
      <c r="AA8" s="20">
        <v>30</v>
      </c>
      <c r="AB8" s="20">
        <v>25</v>
      </c>
      <c r="AC8" s="20">
        <v>35</v>
      </c>
      <c r="AD8" s="20">
        <v>55</v>
      </c>
      <c r="AE8" s="20">
        <v>40</v>
      </c>
      <c r="AF8" s="20">
        <v>40</v>
      </c>
      <c r="AG8" s="20">
        <v>30</v>
      </c>
      <c r="AH8" s="20">
        <v>30</v>
      </c>
      <c r="AI8" s="19">
        <v>45</v>
      </c>
    </row>
    <row r="9" spans="1:35" ht="15.75" customHeight="1" x14ac:dyDescent="0.25">
      <c r="A9" s="25" t="s">
        <v>49</v>
      </c>
      <c r="B9" s="26">
        <v>20</v>
      </c>
      <c r="C9" s="26">
        <v>20</v>
      </c>
      <c r="D9" s="26">
        <v>20</v>
      </c>
      <c r="E9" s="26">
        <v>20</v>
      </c>
      <c r="F9" s="26">
        <v>15</v>
      </c>
      <c r="G9" s="27">
        <v>10</v>
      </c>
      <c r="H9" s="27">
        <v>25</v>
      </c>
      <c r="I9" s="26">
        <v>15</v>
      </c>
      <c r="J9" s="27">
        <v>29</v>
      </c>
      <c r="K9" s="27">
        <v>29</v>
      </c>
      <c r="L9" s="27">
        <v>29</v>
      </c>
      <c r="M9" s="27">
        <v>15</v>
      </c>
      <c r="N9" s="27">
        <v>15</v>
      </c>
      <c r="O9" s="27">
        <v>15</v>
      </c>
      <c r="P9" s="22">
        <v>34</v>
      </c>
      <c r="Q9" s="22">
        <v>34</v>
      </c>
      <c r="R9" s="22">
        <v>34</v>
      </c>
      <c r="S9" s="22">
        <v>34</v>
      </c>
      <c r="T9" s="22">
        <v>34</v>
      </c>
      <c r="U9" s="26">
        <v>20</v>
      </c>
      <c r="V9" s="26">
        <v>20</v>
      </c>
      <c r="W9" s="26">
        <v>20</v>
      </c>
      <c r="X9" s="27">
        <v>20</v>
      </c>
      <c r="Y9" s="27">
        <v>20</v>
      </c>
      <c r="Z9" s="27">
        <v>20</v>
      </c>
      <c r="AA9" s="27">
        <v>20</v>
      </c>
      <c r="AB9" s="27">
        <v>15</v>
      </c>
      <c r="AC9" s="27">
        <v>25</v>
      </c>
      <c r="AD9" s="27">
        <v>45</v>
      </c>
      <c r="AE9" s="27">
        <v>30</v>
      </c>
      <c r="AF9" s="27">
        <v>30</v>
      </c>
      <c r="AG9" s="27">
        <v>20</v>
      </c>
      <c r="AH9" s="27">
        <v>20</v>
      </c>
      <c r="AI9" s="26">
        <v>35</v>
      </c>
    </row>
    <row r="10" spans="1:35" ht="13.5" customHeight="1" x14ac:dyDescent="0.25">
      <c r="A10" s="25" t="s">
        <v>14</v>
      </c>
      <c r="B10" s="34">
        <f t="shared" ref="B10:AH10" si="8">(B8+B9)/2</f>
        <v>25</v>
      </c>
      <c r="C10" s="34">
        <f t="shared" si="8"/>
        <v>25</v>
      </c>
      <c r="D10" s="34">
        <f t="shared" si="8"/>
        <v>25</v>
      </c>
      <c r="E10" s="34">
        <f t="shared" si="8"/>
        <v>25</v>
      </c>
      <c r="F10" s="34">
        <f t="shared" si="8"/>
        <v>20</v>
      </c>
      <c r="G10" s="34">
        <f t="shared" si="8"/>
        <v>15</v>
      </c>
      <c r="H10" s="34">
        <f t="shared" si="8"/>
        <v>30</v>
      </c>
      <c r="I10" s="34">
        <f t="shared" ref="I10" si="9">(I8+I9)/2</f>
        <v>20</v>
      </c>
      <c r="J10" s="34">
        <f t="shared" si="8"/>
        <v>32</v>
      </c>
      <c r="K10" s="34">
        <f t="shared" si="8"/>
        <v>32</v>
      </c>
      <c r="L10" s="34">
        <f t="shared" si="8"/>
        <v>32</v>
      </c>
      <c r="M10" s="34">
        <f t="shared" si="8"/>
        <v>20</v>
      </c>
      <c r="N10" s="34">
        <f t="shared" si="8"/>
        <v>20</v>
      </c>
      <c r="O10" s="34">
        <f t="shared" si="8"/>
        <v>20</v>
      </c>
      <c r="P10" s="34">
        <f t="shared" si="8"/>
        <v>37</v>
      </c>
      <c r="Q10" s="34">
        <f t="shared" si="8"/>
        <v>37</v>
      </c>
      <c r="R10" s="34">
        <f t="shared" si="8"/>
        <v>37</v>
      </c>
      <c r="S10" s="34">
        <f t="shared" si="8"/>
        <v>37</v>
      </c>
      <c r="T10" s="34">
        <f t="shared" si="8"/>
        <v>37</v>
      </c>
      <c r="U10" s="34">
        <f t="shared" si="8"/>
        <v>25</v>
      </c>
      <c r="V10" s="34">
        <f t="shared" ref="V10:W10" si="10">(V8+V9)/2</f>
        <v>25</v>
      </c>
      <c r="W10" s="34">
        <f t="shared" si="10"/>
        <v>25</v>
      </c>
      <c r="X10" s="34">
        <f t="shared" si="8"/>
        <v>25</v>
      </c>
      <c r="Y10" s="34">
        <f t="shared" si="8"/>
        <v>25</v>
      </c>
      <c r="Z10" s="34">
        <f t="shared" si="8"/>
        <v>25</v>
      </c>
      <c r="AA10" s="34">
        <f t="shared" si="8"/>
        <v>25</v>
      </c>
      <c r="AB10" s="34">
        <f t="shared" si="8"/>
        <v>20</v>
      </c>
      <c r="AC10" s="34">
        <f t="shared" si="8"/>
        <v>30</v>
      </c>
      <c r="AD10" s="34">
        <f t="shared" si="8"/>
        <v>50</v>
      </c>
      <c r="AE10" s="34">
        <f t="shared" si="8"/>
        <v>35</v>
      </c>
      <c r="AF10" s="34">
        <f t="shared" si="8"/>
        <v>35</v>
      </c>
      <c r="AG10" s="35">
        <f t="shared" si="8"/>
        <v>25</v>
      </c>
      <c r="AH10" s="35">
        <f t="shared" si="8"/>
        <v>25</v>
      </c>
      <c r="AI10" s="34">
        <f t="shared" ref="AI10" si="11">(AI8+AI9)/2</f>
        <v>40</v>
      </c>
    </row>
    <row r="11" spans="1:35" ht="15.75" customHeight="1" x14ac:dyDescent="0.25">
      <c r="A11" s="8" t="s">
        <v>50</v>
      </c>
      <c r="B11" s="19">
        <v>30</v>
      </c>
      <c r="C11" s="19">
        <v>30</v>
      </c>
      <c r="D11" s="19">
        <v>30</v>
      </c>
      <c r="E11" s="19">
        <v>30</v>
      </c>
      <c r="F11" s="19">
        <v>45</v>
      </c>
      <c r="G11" s="20">
        <v>45</v>
      </c>
      <c r="H11" s="20">
        <v>35</v>
      </c>
      <c r="I11" s="19">
        <v>45</v>
      </c>
      <c r="J11" s="20">
        <v>40</v>
      </c>
      <c r="K11" s="20">
        <v>40</v>
      </c>
      <c r="L11" s="20">
        <v>40</v>
      </c>
      <c r="M11" s="20">
        <v>25</v>
      </c>
      <c r="N11" s="20">
        <v>25</v>
      </c>
      <c r="O11" s="20">
        <v>25</v>
      </c>
      <c r="P11" s="20">
        <v>50</v>
      </c>
      <c r="Q11" s="20">
        <v>50</v>
      </c>
      <c r="R11" s="20">
        <v>50</v>
      </c>
      <c r="S11" s="20">
        <v>50</v>
      </c>
      <c r="T11" s="20">
        <v>50</v>
      </c>
      <c r="U11" s="20">
        <v>45</v>
      </c>
      <c r="V11" s="20">
        <v>45</v>
      </c>
      <c r="W11" s="20">
        <v>45</v>
      </c>
      <c r="X11" s="20">
        <v>50</v>
      </c>
      <c r="Y11" s="20">
        <v>50</v>
      </c>
      <c r="Z11" s="20">
        <v>50</v>
      </c>
      <c r="AA11" s="20">
        <v>40</v>
      </c>
      <c r="AB11" s="20">
        <v>40</v>
      </c>
      <c r="AC11" s="20">
        <v>45</v>
      </c>
      <c r="AD11" s="20">
        <v>40</v>
      </c>
      <c r="AE11" s="20">
        <v>40</v>
      </c>
      <c r="AF11" s="20">
        <v>40</v>
      </c>
      <c r="AG11" s="20">
        <v>40</v>
      </c>
      <c r="AH11" s="20">
        <v>40</v>
      </c>
      <c r="AI11" s="19">
        <v>25</v>
      </c>
    </row>
    <row r="12" spans="1:35" ht="13.5" customHeight="1" x14ac:dyDescent="0.25">
      <c r="A12" s="31" t="s">
        <v>51</v>
      </c>
      <c r="B12" s="27">
        <v>20</v>
      </c>
      <c r="C12" s="27">
        <v>20</v>
      </c>
      <c r="D12" s="27">
        <v>20</v>
      </c>
      <c r="E12" s="27">
        <v>20</v>
      </c>
      <c r="F12" s="27">
        <v>35</v>
      </c>
      <c r="G12" s="27">
        <v>35</v>
      </c>
      <c r="H12" s="27">
        <v>25</v>
      </c>
      <c r="I12" s="27">
        <v>35</v>
      </c>
      <c r="J12" s="27">
        <v>30</v>
      </c>
      <c r="K12" s="27">
        <v>30</v>
      </c>
      <c r="L12" s="27">
        <v>30</v>
      </c>
      <c r="M12" s="27">
        <v>15</v>
      </c>
      <c r="N12" s="27">
        <v>15</v>
      </c>
      <c r="O12" s="27">
        <v>15</v>
      </c>
      <c r="P12" s="27">
        <v>40</v>
      </c>
      <c r="Q12" s="27">
        <v>40</v>
      </c>
      <c r="R12" s="27">
        <v>40</v>
      </c>
      <c r="S12" s="27">
        <v>40</v>
      </c>
      <c r="T12" s="27">
        <v>40</v>
      </c>
      <c r="U12" s="27">
        <v>35</v>
      </c>
      <c r="V12" s="27">
        <v>35</v>
      </c>
      <c r="W12" s="27">
        <v>35</v>
      </c>
      <c r="X12" s="27">
        <v>40</v>
      </c>
      <c r="Y12" s="27">
        <v>40</v>
      </c>
      <c r="Z12" s="27">
        <v>40</v>
      </c>
      <c r="AA12" s="27">
        <v>30</v>
      </c>
      <c r="AB12" s="27">
        <v>30</v>
      </c>
      <c r="AC12" s="27">
        <v>35</v>
      </c>
      <c r="AD12" s="27">
        <v>30</v>
      </c>
      <c r="AE12" s="27">
        <v>30</v>
      </c>
      <c r="AF12" s="27">
        <v>30</v>
      </c>
      <c r="AG12" s="27">
        <v>30</v>
      </c>
      <c r="AH12" s="27">
        <v>30</v>
      </c>
      <c r="AI12" s="27">
        <v>15</v>
      </c>
    </row>
    <row r="13" spans="1:35" ht="13.5" customHeight="1" x14ac:dyDescent="0.25">
      <c r="A13" s="33" t="s">
        <v>15</v>
      </c>
      <c r="B13" s="34">
        <f t="shared" ref="B13:AH13" si="12">(B11+B12)/2</f>
        <v>25</v>
      </c>
      <c r="C13" s="34">
        <f t="shared" si="12"/>
        <v>25</v>
      </c>
      <c r="D13" s="34">
        <f t="shared" si="12"/>
        <v>25</v>
      </c>
      <c r="E13" s="34">
        <f t="shared" si="12"/>
        <v>25</v>
      </c>
      <c r="F13" s="34">
        <f t="shared" si="12"/>
        <v>40</v>
      </c>
      <c r="G13" s="34">
        <f t="shared" si="12"/>
        <v>40</v>
      </c>
      <c r="H13" s="34">
        <f t="shared" si="12"/>
        <v>30</v>
      </c>
      <c r="I13" s="34">
        <f t="shared" ref="I13" si="13">(I11+I12)/2</f>
        <v>40</v>
      </c>
      <c r="J13" s="34">
        <f t="shared" si="12"/>
        <v>35</v>
      </c>
      <c r="K13" s="34">
        <f t="shared" si="12"/>
        <v>35</v>
      </c>
      <c r="L13" s="34">
        <f t="shared" si="12"/>
        <v>35</v>
      </c>
      <c r="M13" s="34">
        <f t="shared" si="12"/>
        <v>20</v>
      </c>
      <c r="N13" s="34">
        <f t="shared" si="12"/>
        <v>20</v>
      </c>
      <c r="O13" s="34">
        <f t="shared" si="12"/>
        <v>20</v>
      </c>
      <c r="P13" s="34">
        <f t="shared" si="12"/>
        <v>45</v>
      </c>
      <c r="Q13" s="34">
        <f t="shared" si="12"/>
        <v>45</v>
      </c>
      <c r="R13" s="34">
        <f t="shared" si="12"/>
        <v>45</v>
      </c>
      <c r="S13" s="34">
        <f t="shared" si="12"/>
        <v>45</v>
      </c>
      <c r="T13" s="34">
        <f t="shared" si="12"/>
        <v>45</v>
      </c>
      <c r="U13" s="34">
        <f t="shared" si="12"/>
        <v>40</v>
      </c>
      <c r="V13" s="34">
        <f t="shared" ref="V13:W13" si="14">(V11+V12)/2</f>
        <v>40</v>
      </c>
      <c r="W13" s="34">
        <f t="shared" si="14"/>
        <v>40</v>
      </c>
      <c r="X13" s="34">
        <f t="shared" si="12"/>
        <v>45</v>
      </c>
      <c r="Y13" s="34">
        <f t="shared" si="12"/>
        <v>45</v>
      </c>
      <c r="Z13" s="34">
        <f t="shared" si="12"/>
        <v>45</v>
      </c>
      <c r="AA13" s="34">
        <f t="shared" si="12"/>
        <v>35</v>
      </c>
      <c r="AB13" s="34">
        <f t="shared" si="12"/>
        <v>35</v>
      </c>
      <c r="AC13" s="34">
        <f t="shared" si="12"/>
        <v>40</v>
      </c>
      <c r="AD13" s="34">
        <f t="shared" si="12"/>
        <v>35</v>
      </c>
      <c r="AE13" s="34">
        <f t="shared" si="12"/>
        <v>35</v>
      </c>
      <c r="AF13" s="34">
        <f t="shared" si="12"/>
        <v>35</v>
      </c>
      <c r="AG13" s="35">
        <f t="shared" si="12"/>
        <v>35</v>
      </c>
      <c r="AH13" s="35">
        <f t="shared" si="12"/>
        <v>35</v>
      </c>
      <c r="AI13" s="34">
        <f t="shared" ref="AI13" si="15">(AI11+AI12)/2</f>
        <v>20</v>
      </c>
    </row>
    <row r="14" spans="1:35" ht="15.75" customHeight="1" x14ac:dyDescent="0.25">
      <c r="A14" s="18" t="s">
        <v>52</v>
      </c>
      <c r="B14" s="19">
        <v>30</v>
      </c>
      <c r="C14" s="19">
        <v>30</v>
      </c>
      <c r="D14" s="19">
        <v>30</v>
      </c>
      <c r="E14" s="19">
        <v>30</v>
      </c>
      <c r="F14" s="19">
        <v>45</v>
      </c>
      <c r="G14" s="20">
        <v>30</v>
      </c>
      <c r="H14" s="20">
        <v>35</v>
      </c>
      <c r="I14" s="19">
        <v>45</v>
      </c>
      <c r="J14" s="20">
        <v>40</v>
      </c>
      <c r="K14" s="20">
        <v>40</v>
      </c>
      <c r="L14" s="20">
        <v>40</v>
      </c>
      <c r="M14" s="20">
        <v>25</v>
      </c>
      <c r="N14" s="20">
        <v>25</v>
      </c>
      <c r="O14" s="20">
        <v>25</v>
      </c>
      <c r="P14" s="20">
        <v>50</v>
      </c>
      <c r="Q14" s="20">
        <v>50</v>
      </c>
      <c r="R14" s="20">
        <v>50</v>
      </c>
      <c r="S14" s="20">
        <v>50</v>
      </c>
      <c r="T14" s="20">
        <v>50</v>
      </c>
      <c r="U14" s="20">
        <v>55</v>
      </c>
      <c r="V14" s="20">
        <v>55</v>
      </c>
      <c r="W14" s="20">
        <v>55</v>
      </c>
      <c r="X14" s="20">
        <v>40</v>
      </c>
      <c r="Y14" s="20">
        <v>40</v>
      </c>
      <c r="Z14" s="20">
        <v>40</v>
      </c>
      <c r="AA14" s="20">
        <v>45</v>
      </c>
      <c r="AB14" s="20">
        <v>45</v>
      </c>
      <c r="AC14" s="20">
        <v>45</v>
      </c>
      <c r="AD14" s="20">
        <v>35</v>
      </c>
      <c r="AE14" s="20">
        <v>35</v>
      </c>
      <c r="AF14" s="20">
        <v>35</v>
      </c>
      <c r="AG14" s="20">
        <v>35</v>
      </c>
      <c r="AH14" s="20">
        <v>35</v>
      </c>
      <c r="AI14" s="19">
        <v>45</v>
      </c>
    </row>
    <row r="15" spans="1:35" ht="13.5" customHeight="1" x14ac:dyDescent="0.25">
      <c r="A15" s="25" t="s">
        <v>53</v>
      </c>
      <c r="B15" s="26">
        <v>20</v>
      </c>
      <c r="C15" s="26">
        <v>20</v>
      </c>
      <c r="D15" s="26">
        <v>20</v>
      </c>
      <c r="E15" s="26">
        <v>20</v>
      </c>
      <c r="F15" s="26">
        <v>35</v>
      </c>
      <c r="G15" s="27">
        <v>20</v>
      </c>
      <c r="H15" s="27">
        <v>25</v>
      </c>
      <c r="I15" s="26">
        <v>35</v>
      </c>
      <c r="J15" s="27">
        <v>30</v>
      </c>
      <c r="K15" s="27">
        <v>30</v>
      </c>
      <c r="L15" s="27">
        <v>30</v>
      </c>
      <c r="M15" s="27">
        <v>15</v>
      </c>
      <c r="N15" s="27">
        <v>15</v>
      </c>
      <c r="O15" s="27">
        <v>15</v>
      </c>
      <c r="P15" s="27">
        <v>40</v>
      </c>
      <c r="Q15" s="27">
        <v>40</v>
      </c>
      <c r="R15" s="27">
        <v>40</v>
      </c>
      <c r="S15" s="27">
        <v>40</v>
      </c>
      <c r="T15" s="27">
        <v>40</v>
      </c>
      <c r="U15" s="27">
        <v>45</v>
      </c>
      <c r="V15" s="27">
        <v>45</v>
      </c>
      <c r="W15" s="27">
        <v>45</v>
      </c>
      <c r="X15" s="27">
        <v>30</v>
      </c>
      <c r="Y15" s="27">
        <v>30</v>
      </c>
      <c r="Z15" s="27">
        <v>30</v>
      </c>
      <c r="AA15" s="27">
        <v>35</v>
      </c>
      <c r="AB15" s="27">
        <v>35</v>
      </c>
      <c r="AC15" s="27">
        <v>35</v>
      </c>
      <c r="AD15" s="27">
        <v>25</v>
      </c>
      <c r="AE15" s="27">
        <v>25</v>
      </c>
      <c r="AF15" s="27">
        <v>25</v>
      </c>
      <c r="AG15" s="27">
        <v>25</v>
      </c>
      <c r="AH15" s="27">
        <v>25</v>
      </c>
      <c r="AI15" s="26">
        <v>35</v>
      </c>
    </row>
    <row r="16" spans="1:35" ht="13.5" customHeight="1" x14ac:dyDescent="0.25">
      <c r="A16" s="25" t="s">
        <v>16</v>
      </c>
      <c r="B16" s="34">
        <f t="shared" ref="B16:AH16" si="16">(B14+B15)/2</f>
        <v>25</v>
      </c>
      <c r="C16" s="34">
        <f t="shared" si="16"/>
        <v>25</v>
      </c>
      <c r="D16" s="34">
        <f t="shared" si="16"/>
        <v>25</v>
      </c>
      <c r="E16" s="34">
        <f t="shared" si="16"/>
        <v>25</v>
      </c>
      <c r="F16" s="34">
        <f t="shared" si="16"/>
        <v>40</v>
      </c>
      <c r="G16" s="34">
        <f t="shared" si="16"/>
        <v>25</v>
      </c>
      <c r="H16" s="34">
        <f t="shared" si="16"/>
        <v>30</v>
      </c>
      <c r="I16" s="34">
        <f t="shared" ref="I16" si="17">(I14+I15)/2</f>
        <v>40</v>
      </c>
      <c r="J16" s="34">
        <f t="shared" si="16"/>
        <v>35</v>
      </c>
      <c r="K16" s="34">
        <f t="shared" si="16"/>
        <v>35</v>
      </c>
      <c r="L16" s="34">
        <f t="shared" si="16"/>
        <v>35</v>
      </c>
      <c r="M16" s="34">
        <f t="shared" si="16"/>
        <v>20</v>
      </c>
      <c r="N16" s="34">
        <f t="shared" si="16"/>
        <v>20</v>
      </c>
      <c r="O16" s="34">
        <f t="shared" si="16"/>
        <v>20</v>
      </c>
      <c r="P16" s="34">
        <f t="shared" si="16"/>
        <v>45</v>
      </c>
      <c r="Q16" s="34">
        <f t="shared" si="16"/>
        <v>45</v>
      </c>
      <c r="R16" s="34">
        <f t="shared" si="16"/>
        <v>45</v>
      </c>
      <c r="S16" s="34">
        <f t="shared" si="16"/>
        <v>45</v>
      </c>
      <c r="T16" s="34">
        <f t="shared" si="16"/>
        <v>45</v>
      </c>
      <c r="U16" s="34">
        <f t="shared" si="16"/>
        <v>50</v>
      </c>
      <c r="V16" s="34">
        <f t="shared" ref="V16:W16" si="18">(V14+V15)/2</f>
        <v>50</v>
      </c>
      <c r="W16" s="34">
        <f t="shared" si="18"/>
        <v>50</v>
      </c>
      <c r="X16" s="34">
        <f t="shared" si="16"/>
        <v>35</v>
      </c>
      <c r="Y16" s="34">
        <f t="shared" si="16"/>
        <v>35</v>
      </c>
      <c r="Z16" s="34">
        <f t="shared" si="16"/>
        <v>35</v>
      </c>
      <c r="AA16" s="34">
        <f t="shared" si="16"/>
        <v>40</v>
      </c>
      <c r="AB16" s="34">
        <f t="shared" si="16"/>
        <v>40</v>
      </c>
      <c r="AC16" s="34">
        <f t="shared" si="16"/>
        <v>40</v>
      </c>
      <c r="AD16" s="34">
        <f t="shared" si="16"/>
        <v>30</v>
      </c>
      <c r="AE16" s="34">
        <f t="shared" si="16"/>
        <v>30</v>
      </c>
      <c r="AF16" s="34">
        <f t="shared" si="16"/>
        <v>30</v>
      </c>
      <c r="AG16" s="35">
        <f t="shared" si="16"/>
        <v>30</v>
      </c>
      <c r="AH16" s="35">
        <f t="shared" si="16"/>
        <v>30</v>
      </c>
      <c r="AI16" s="34">
        <f t="shared" ref="AI16" si="19">(AI14+AI15)/2</f>
        <v>40</v>
      </c>
    </row>
    <row r="17" spans="1:35" ht="15.75" customHeight="1" x14ac:dyDescent="0.25">
      <c r="A17" s="18" t="s">
        <v>54</v>
      </c>
      <c r="B17" s="19">
        <v>30</v>
      </c>
      <c r="C17" s="19">
        <v>30</v>
      </c>
      <c r="D17" s="19">
        <v>30</v>
      </c>
      <c r="E17" s="19">
        <v>30</v>
      </c>
      <c r="F17" s="19">
        <v>45</v>
      </c>
      <c r="G17" s="20">
        <v>45</v>
      </c>
      <c r="H17" s="20">
        <v>20</v>
      </c>
      <c r="I17" s="19">
        <v>45</v>
      </c>
      <c r="J17" s="20">
        <v>30</v>
      </c>
      <c r="K17" s="20">
        <v>30</v>
      </c>
      <c r="L17" s="20">
        <v>30</v>
      </c>
      <c r="M17" s="20">
        <v>50</v>
      </c>
      <c r="N17" s="20">
        <v>50</v>
      </c>
      <c r="O17" s="20">
        <v>50</v>
      </c>
      <c r="P17" s="20">
        <v>30</v>
      </c>
      <c r="Q17" s="20">
        <v>30</v>
      </c>
      <c r="R17" s="20">
        <v>30</v>
      </c>
      <c r="S17" s="20">
        <v>30</v>
      </c>
      <c r="T17" s="20">
        <v>30</v>
      </c>
      <c r="U17" s="20">
        <v>45</v>
      </c>
      <c r="V17" s="20">
        <v>45</v>
      </c>
      <c r="W17" s="20">
        <v>45</v>
      </c>
      <c r="X17" s="20">
        <v>45</v>
      </c>
      <c r="Y17" s="20">
        <v>45</v>
      </c>
      <c r="Z17" s="20">
        <v>45</v>
      </c>
      <c r="AA17" s="20">
        <v>35</v>
      </c>
      <c r="AB17" s="20">
        <v>45</v>
      </c>
      <c r="AC17" s="20">
        <v>35</v>
      </c>
      <c r="AD17" s="20">
        <v>30</v>
      </c>
      <c r="AE17" s="20">
        <v>30</v>
      </c>
      <c r="AF17" s="20">
        <v>30</v>
      </c>
      <c r="AG17" s="20">
        <v>30</v>
      </c>
      <c r="AH17" s="20">
        <v>30</v>
      </c>
      <c r="AI17" s="19">
        <v>45</v>
      </c>
    </row>
    <row r="18" spans="1:35" ht="13.5" customHeight="1" x14ac:dyDescent="0.25">
      <c r="A18" s="25" t="s">
        <v>55</v>
      </c>
      <c r="B18" s="26">
        <v>20</v>
      </c>
      <c r="C18" s="26">
        <v>20</v>
      </c>
      <c r="D18" s="26">
        <v>20</v>
      </c>
      <c r="E18" s="26">
        <v>20</v>
      </c>
      <c r="F18" s="26">
        <v>35</v>
      </c>
      <c r="G18" s="27">
        <v>35</v>
      </c>
      <c r="H18" s="27">
        <v>10</v>
      </c>
      <c r="I18" s="26">
        <v>35</v>
      </c>
      <c r="J18" s="27">
        <v>20</v>
      </c>
      <c r="K18" s="27">
        <v>20</v>
      </c>
      <c r="L18" s="27">
        <v>20</v>
      </c>
      <c r="M18" s="27">
        <v>40</v>
      </c>
      <c r="N18" s="27">
        <v>40</v>
      </c>
      <c r="O18" s="27">
        <v>40</v>
      </c>
      <c r="P18" s="27">
        <v>20</v>
      </c>
      <c r="Q18" s="27">
        <v>20</v>
      </c>
      <c r="R18" s="27">
        <v>20</v>
      </c>
      <c r="S18" s="27">
        <v>20</v>
      </c>
      <c r="T18" s="27">
        <v>20</v>
      </c>
      <c r="U18" s="27">
        <v>35</v>
      </c>
      <c r="V18" s="27">
        <v>35</v>
      </c>
      <c r="W18" s="27">
        <v>35</v>
      </c>
      <c r="X18" s="27">
        <v>35</v>
      </c>
      <c r="Y18" s="27">
        <v>35</v>
      </c>
      <c r="Z18" s="27">
        <v>35</v>
      </c>
      <c r="AA18" s="27">
        <v>25</v>
      </c>
      <c r="AB18" s="27">
        <v>35</v>
      </c>
      <c r="AC18" s="27">
        <v>25</v>
      </c>
      <c r="AD18" s="27">
        <v>20</v>
      </c>
      <c r="AE18" s="27">
        <v>20</v>
      </c>
      <c r="AF18" s="27">
        <v>20</v>
      </c>
      <c r="AG18" s="27">
        <v>20</v>
      </c>
      <c r="AH18" s="27">
        <v>20</v>
      </c>
      <c r="AI18" s="26">
        <v>35</v>
      </c>
    </row>
    <row r="19" spans="1:35" ht="13.5" customHeight="1" x14ac:dyDescent="0.25">
      <c r="A19" s="25" t="s">
        <v>17</v>
      </c>
      <c r="B19" s="34">
        <f t="shared" ref="B19:AH19" si="20">(B17+B18)/2</f>
        <v>25</v>
      </c>
      <c r="C19" s="34">
        <f t="shared" si="20"/>
        <v>25</v>
      </c>
      <c r="D19" s="34">
        <f t="shared" si="20"/>
        <v>25</v>
      </c>
      <c r="E19" s="34">
        <f t="shared" si="20"/>
        <v>25</v>
      </c>
      <c r="F19" s="34">
        <f t="shared" si="20"/>
        <v>40</v>
      </c>
      <c r="G19" s="34">
        <f t="shared" si="20"/>
        <v>40</v>
      </c>
      <c r="H19" s="34">
        <f t="shared" si="20"/>
        <v>15</v>
      </c>
      <c r="I19" s="34">
        <f t="shared" ref="I19" si="21">(I17+I18)/2</f>
        <v>40</v>
      </c>
      <c r="J19" s="34">
        <f t="shared" si="20"/>
        <v>25</v>
      </c>
      <c r="K19" s="34">
        <f t="shared" si="20"/>
        <v>25</v>
      </c>
      <c r="L19" s="34">
        <f t="shared" si="20"/>
        <v>25</v>
      </c>
      <c r="M19" s="34">
        <f t="shared" si="20"/>
        <v>45</v>
      </c>
      <c r="N19" s="34">
        <f t="shared" si="20"/>
        <v>45</v>
      </c>
      <c r="O19" s="34">
        <f t="shared" si="20"/>
        <v>45</v>
      </c>
      <c r="P19" s="34">
        <f t="shared" si="20"/>
        <v>25</v>
      </c>
      <c r="Q19" s="34">
        <f t="shared" si="20"/>
        <v>25</v>
      </c>
      <c r="R19" s="34">
        <f t="shared" si="20"/>
        <v>25</v>
      </c>
      <c r="S19" s="34">
        <f t="shared" si="20"/>
        <v>25</v>
      </c>
      <c r="T19" s="34">
        <f t="shared" si="20"/>
        <v>25</v>
      </c>
      <c r="U19" s="34">
        <f t="shared" si="20"/>
        <v>40</v>
      </c>
      <c r="V19" s="34">
        <f t="shared" ref="V19:W19" si="22">(V17+V18)/2</f>
        <v>40</v>
      </c>
      <c r="W19" s="34">
        <f t="shared" si="22"/>
        <v>40</v>
      </c>
      <c r="X19" s="34">
        <f t="shared" si="20"/>
        <v>40</v>
      </c>
      <c r="Y19" s="34">
        <f t="shared" si="20"/>
        <v>40</v>
      </c>
      <c r="Z19" s="34">
        <f t="shared" si="20"/>
        <v>40</v>
      </c>
      <c r="AA19" s="34">
        <f t="shared" si="20"/>
        <v>30</v>
      </c>
      <c r="AB19" s="34">
        <f t="shared" si="20"/>
        <v>40</v>
      </c>
      <c r="AC19" s="34">
        <f t="shared" si="20"/>
        <v>30</v>
      </c>
      <c r="AD19" s="34">
        <f t="shared" si="20"/>
        <v>25</v>
      </c>
      <c r="AE19" s="34">
        <f t="shared" si="20"/>
        <v>25</v>
      </c>
      <c r="AF19" s="34">
        <f t="shared" si="20"/>
        <v>25</v>
      </c>
      <c r="AG19" s="35">
        <f t="shared" si="20"/>
        <v>25</v>
      </c>
      <c r="AH19" s="35">
        <f t="shared" si="20"/>
        <v>25</v>
      </c>
      <c r="AI19" s="34">
        <f t="shared" ref="AI19" si="23">(AI17+AI18)/2</f>
        <v>40</v>
      </c>
    </row>
    <row r="20" spans="1:35" ht="15.75" customHeight="1" x14ac:dyDescent="0.25">
      <c r="A20" s="8" t="s">
        <v>56</v>
      </c>
      <c r="B20" s="19">
        <v>30</v>
      </c>
      <c r="C20" s="19">
        <v>30</v>
      </c>
      <c r="D20" s="19">
        <v>30</v>
      </c>
      <c r="E20" s="19">
        <v>30</v>
      </c>
      <c r="F20" s="19">
        <v>25</v>
      </c>
      <c r="G20" s="20">
        <v>25</v>
      </c>
      <c r="H20" s="20">
        <v>40</v>
      </c>
      <c r="I20" s="19">
        <v>25</v>
      </c>
      <c r="J20" s="20">
        <v>30</v>
      </c>
      <c r="K20" s="20">
        <v>30</v>
      </c>
      <c r="L20" s="20">
        <v>30</v>
      </c>
      <c r="M20" s="20">
        <v>30</v>
      </c>
      <c r="N20" s="20">
        <v>30</v>
      </c>
      <c r="O20" s="20">
        <v>30</v>
      </c>
      <c r="P20" s="20">
        <v>35</v>
      </c>
      <c r="Q20" s="20">
        <v>35</v>
      </c>
      <c r="R20" s="20">
        <v>35</v>
      </c>
      <c r="S20" s="20">
        <v>35</v>
      </c>
      <c r="T20" s="20">
        <v>35</v>
      </c>
      <c r="U20" s="20">
        <v>30</v>
      </c>
      <c r="V20" s="20">
        <v>30</v>
      </c>
      <c r="W20" s="20">
        <v>30</v>
      </c>
      <c r="X20" s="20">
        <v>35</v>
      </c>
      <c r="Y20" s="20">
        <v>35</v>
      </c>
      <c r="Z20" s="20">
        <v>35</v>
      </c>
      <c r="AA20" s="20">
        <v>30</v>
      </c>
      <c r="AB20" s="20">
        <v>30</v>
      </c>
      <c r="AC20" s="20">
        <v>30</v>
      </c>
      <c r="AD20" s="20">
        <v>30</v>
      </c>
      <c r="AE20" s="20">
        <v>30</v>
      </c>
      <c r="AF20" s="20">
        <v>30</v>
      </c>
      <c r="AG20" s="20">
        <v>55</v>
      </c>
      <c r="AH20" s="20">
        <v>55</v>
      </c>
      <c r="AI20" s="19">
        <v>25</v>
      </c>
    </row>
    <row r="21" spans="1:35" ht="13.5" customHeight="1" x14ac:dyDescent="0.25">
      <c r="A21" s="31" t="s">
        <v>57</v>
      </c>
      <c r="B21" s="27">
        <v>20</v>
      </c>
      <c r="C21" s="27">
        <v>20</v>
      </c>
      <c r="D21" s="27">
        <v>20</v>
      </c>
      <c r="E21" s="27">
        <v>20</v>
      </c>
      <c r="F21" s="27">
        <v>15</v>
      </c>
      <c r="G21" s="27">
        <v>15</v>
      </c>
      <c r="H21" s="27">
        <v>30</v>
      </c>
      <c r="I21" s="27">
        <v>15</v>
      </c>
      <c r="J21" s="27">
        <v>20</v>
      </c>
      <c r="K21" s="27">
        <v>20</v>
      </c>
      <c r="L21" s="27">
        <v>20</v>
      </c>
      <c r="M21" s="27">
        <v>20</v>
      </c>
      <c r="N21" s="27">
        <v>20</v>
      </c>
      <c r="O21" s="27">
        <v>20</v>
      </c>
      <c r="P21" s="27">
        <v>25</v>
      </c>
      <c r="Q21" s="27">
        <v>25</v>
      </c>
      <c r="R21" s="27">
        <v>25</v>
      </c>
      <c r="S21" s="27">
        <v>25</v>
      </c>
      <c r="T21" s="27">
        <v>25</v>
      </c>
      <c r="U21" s="27">
        <v>20</v>
      </c>
      <c r="V21" s="27">
        <v>20</v>
      </c>
      <c r="W21" s="27">
        <v>20</v>
      </c>
      <c r="X21" s="27">
        <v>25</v>
      </c>
      <c r="Y21" s="27">
        <v>25</v>
      </c>
      <c r="Z21" s="27">
        <v>25</v>
      </c>
      <c r="AA21" s="27">
        <v>20</v>
      </c>
      <c r="AB21" s="27">
        <v>20</v>
      </c>
      <c r="AC21" s="27">
        <v>20</v>
      </c>
      <c r="AD21" s="27">
        <v>20</v>
      </c>
      <c r="AE21" s="27">
        <v>20</v>
      </c>
      <c r="AF21" s="27">
        <v>20</v>
      </c>
      <c r="AG21" s="27">
        <v>45</v>
      </c>
      <c r="AH21" s="27">
        <v>45</v>
      </c>
      <c r="AI21" s="27">
        <v>15</v>
      </c>
    </row>
    <row r="22" spans="1:35" ht="13.5" customHeight="1" x14ac:dyDescent="0.25">
      <c r="A22" s="33" t="s">
        <v>18</v>
      </c>
      <c r="B22" s="34">
        <f t="shared" ref="B22:AH22" si="24">(B20+B21)/2</f>
        <v>25</v>
      </c>
      <c r="C22" s="34">
        <f t="shared" si="24"/>
        <v>25</v>
      </c>
      <c r="D22" s="34">
        <f t="shared" si="24"/>
        <v>25</v>
      </c>
      <c r="E22" s="34">
        <f t="shared" si="24"/>
        <v>25</v>
      </c>
      <c r="F22" s="34">
        <f t="shared" si="24"/>
        <v>20</v>
      </c>
      <c r="G22" s="34">
        <f t="shared" si="24"/>
        <v>20</v>
      </c>
      <c r="H22" s="34">
        <f t="shared" si="24"/>
        <v>35</v>
      </c>
      <c r="I22" s="34">
        <f t="shared" ref="I22" si="25">(I20+I21)/2</f>
        <v>20</v>
      </c>
      <c r="J22" s="34">
        <f t="shared" si="24"/>
        <v>25</v>
      </c>
      <c r="K22" s="34">
        <f t="shared" si="24"/>
        <v>25</v>
      </c>
      <c r="L22" s="34">
        <f t="shared" si="24"/>
        <v>25</v>
      </c>
      <c r="M22" s="34">
        <f t="shared" si="24"/>
        <v>25</v>
      </c>
      <c r="N22" s="34">
        <f t="shared" si="24"/>
        <v>25</v>
      </c>
      <c r="O22" s="34">
        <f t="shared" si="24"/>
        <v>25</v>
      </c>
      <c r="P22" s="34">
        <f t="shared" si="24"/>
        <v>30</v>
      </c>
      <c r="Q22" s="34">
        <f t="shared" si="24"/>
        <v>30</v>
      </c>
      <c r="R22" s="34">
        <f t="shared" si="24"/>
        <v>30</v>
      </c>
      <c r="S22" s="34">
        <f t="shared" si="24"/>
        <v>30</v>
      </c>
      <c r="T22" s="34">
        <f t="shared" si="24"/>
        <v>30</v>
      </c>
      <c r="U22" s="34">
        <f t="shared" si="24"/>
        <v>25</v>
      </c>
      <c r="V22" s="34">
        <f t="shared" ref="V22:W22" si="26">(V20+V21)/2</f>
        <v>25</v>
      </c>
      <c r="W22" s="34">
        <f t="shared" si="26"/>
        <v>25</v>
      </c>
      <c r="X22" s="34">
        <f t="shared" si="24"/>
        <v>30</v>
      </c>
      <c r="Y22" s="34">
        <f t="shared" si="24"/>
        <v>30</v>
      </c>
      <c r="Z22" s="34">
        <f t="shared" si="24"/>
        <v>30</v>
      </c>
      <c r="AA22" s="34">
        <f t="shared" si="24"/>
        <v>25</v>
      </c>
      <c r="AB22" s="34">
        <f t="shared" si="24"/>
        <v>25</v>
      </c>
      <c r="AC22" s="34">
        <f t="shared" si="24"/>
        <v>25</v>
      </c>
      <c r="AD22" s="34">
        <f t="shared" si="24"/>
        <v>25</v>
      </c>
      <c r="AE22" s="34">
        <f t="shared" si="24"/>
        <v>25</v>
      </c>
      <c r="AF22" s="34">
        <f t="shared" si="24"/>
        <v>25</v>
      </c>
      <c r="AG22" s="35">
        <f t="shared" si="24"/>
        <v>50</v>
      </c>
      <c r="AH22" s="35">
        <f t="shared" si="24"/>
        <v>50</v>
      </c>
      <c r="AI22" s="34">
        <f t="shared" ref="AI22" si="27">(AI20+AI21)/2</f>
        <v>20</v>
      </c>
    </row>
    <row r="23" spans="1:35" ht="13.5" customHeight="1" x14ac:dyDescent="0.25">
      <c r="A23" s="36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37"/>
      <c r="AF23" s="37"/>
      <c r="AG23" s="37"/>
      <c r="AH23" s="37"/>
      <c r="AI23" s="20"/>
    </row>
    <row r="24" spans="1:35" ht="13.5" customHeight="1" x14ac:dyDescent="0.25">
      <c r="A24" s="38" t="s">
        <v>58</v>
      </c>
      <c r="B24" s="24">
        <f t="shared" ref="B24:AH24" si="28">B4+B7+B10+B13+B16+B19+B22</f>
        <v>175</v>
      </c>
      <c r="C24" s="24">
        <f t="shared" si="28"/>
        <v>175</v>
      </c>
      <c r="D24" s="24">
        <f t="shared" si="28"/>
        <v>175</v>
      </c>
      <c r="E24" s="24">
        <f t="shared" si="28"/>
        <v>175</v>
      </c>
      <c r="F24" s="24">
        <f t="shared" si="28"/>
        <v>200</v>
      </c>
      <c r="G24" s="24">
        <f t="shared" si="28"/>
        <v>200</v>
      </c>
      <c r="H24" s="24">
        <f t="shared" si="28"/>
        <v>200</v>
      </c>
      <c r="I24" s="24">
        <f t="shared" ref="I24" si="29">I4+I7+I10+I13+I16+I19+I22</f>
        <v>200</v>
      </c>
      <c r="J24" s="24">
        <f t="shared" si="28"/>
        <v>216</v>
      </c>
      <c r="K24" s="24">
        <f t="shared" si="28"/>
        <v>216</v>
      </c>
      <c r="L24" s="24">
        <f t="shared" si="28"/>
        <v>216</v>
      </c>
      <c r="M24" s="24">
        <f t="shared" si="28"/>
        <v>170</v>
      </c>
      <c r="N24" s="24">
        <f t="shared" si="28"/>
        <v>170</v>
      </c>
      <c r="O24" s="24">
        <f t="shared" si="28"/>
        <v>170</v>
      </c>
      <c r="P24" s="24">
        <f t="shared" si="28"/>
        <v>256</v>
      </c>
      <c r="Q24" s="24">
        <f t="shared" si="28"/>
        <v>256</v>
      </c>
      <c r="R24" s="24">
        <f t="shared" si="28"/>
        <v>256</v>
      </c>
      <c r="S24" s="24">
        <f t="shared" si="28"/>
        <v>256</v>
      </c>
      <c r="T24" s="24">
        <f t="shared" si="28"/>
        <v>256</v>
      </c>
      <c r="U24" s="24">
        <f t="shared" si="28"/>
        <v>240</v>
      </c>
      <c r="V24" s="24">
        <f t="shared" ref="V24:W24" si="30">V4+V7+V10+V13+V16+V19+V22</f>
        <v>240</v>
      </c>
      <c r="W24" s="24">
        <f t="shared" si="30"/>
        <v>240</v>
      </c>
      <c r="X24" s="24">
        <f t="shared" si="28"/>
        <v>240</v>
      </c>
      <c r="Y24" s="24">
        <f t="shared" si="28"/>
        <v>240</v>
      </c>
      <c r="Z24" s="24">
        <f t="shared" si="28"/>
        <v>240</v>
      </c>
      <c r="AA24" s="24">
        <f t="shared" si="28"/>
        <v>220</v>
      </c>
      <c r="AB24" s="24">
        <f t="shared" si="28"/>
        <v>220</v>
      </c>
      <c r="AC24" s="24">
        <f t="shared" si="28"/>
        <v>220</v>
      </c>
      <c r="AD24" s="24">
        <f t="shared" si="28"/>
        <v>235</v>
      </c>
      <c r="AE24" s="24">
        <f t="shared" si="28"/>
        <v>235</v>
      </c>
      <c r="AF24" s="24">
        <f t="shared" si="28"/>
        <v>235</v>
      </c>
      <c r="AG24" s="24">
        <f t="shared" si="28"/>
        <v>235</v>
      </c>
      <c r="AH24" s="24">
        <f t="shared" si="28"/>
        <v>235</v>
      </c>
      <c r="AI24" s="24">
        <f t="shared" ref="AI24" si="31">AI4+AI7+AI10+AI13+AI16+AI19+AI22</f>
        <v>200</v>
      </c>
    </row>
    <row r="25" spans="1:35" ht="13.5" customHeight="1" x14ac:dyDescent="0.25">
      <c r="A25" s="39" t="s">
        <v>59</v>
      </c>
      <c r="B25" s="24">
        <f t="shared" ref="B25:AH25" si="32">B24/7</f>
        <v>25</v>
      </c>
      <c r="C25" s="24">
        <f t="shared" si="32"/>
        <v>25</v>
      </c>
      <c r="D25" s="24">
        <f t="shared" si="32"/>
        <v>25</v>
      </c>
      <c r="E25" s="24">
        <f t="shared" si="32"/>
        <v>25</v>
      </c>
      <c r="F25" s="40">
        <f t="shared" si="32"/>
        <v>28.571428571428573</v>
      </c>
      <c r="G25" s="40">
        <f t="shared" si="32"/>
        <v>28.571428571428573</v>
      </c>
      <c r="H25" s="40">
        <f t="shared" si="32"/>
        <v>28.571428571428573</v>
      </c>
      <c r="I25" s="40">
        <f t="shared" ref="I25" si="33">I24/7</f>
        <v>28.571428571428573</v>
      </c>
      <c r="J25" s="40">
        <f t="shared" si="32"/>
        <v>30.857142857142858</v>
      </c>
      <c r="K25" s="40">
        <f t="shared" si="32"/>
        <v>30.857142857142858</v>
      </c>
      <c r="L25" s="40">
        <f t="shared" si="32"/>
        <v>30.857142857142858</v>
      </c>
      <c r="M25" s="40">
        <f t="shared" si="32"/>
        <v>24.285714285714285</v>
      </c>
      <c r="N25" s="40">
        <f t="shared" si="32"/>
        <v>24.285714285714285</v>
      </c>
      <c r="O25" s="40">
        <f t="shared" si="32"/>
        <v>24.285714285714285</v>
      </c>
      <c r="P25" s="40">
        <f t="shared" si="32"/>
        <v>36.571428571428569</v>
      </c>
      <c r="Q25" s="40">
        <f t="shared" si="32"/>
        <v>36.571428571428569</v>
      </c>
      <c r="R25" s="40">
        <f t="shared" si="32"/>
        <v>36.571428571428569</v>
      </c>
      <c r="S25" s="40">
        <f t="shared" si="32"/>
        <v>36.571428571428569</v>
      </c>
      <c r="T25" s="40">
        <f t="shared" si="32"/>
        <v>36.571428571428569</v>
      </c>
      <c r="U25" s="40">
        <f t="shared" si="32"/>
        <v>34.285714285714285</v>
      </c>
      <c r="V25" s="40">
        <f t="shared" ref="V25:W25" si="34">V24/7</f>
        <v>34.285714285714285</v>
      </c>
      <c r="W25" s="40">
        <f t="shared" si="34"/>
        <v>34.285714285714285</v>
      </c>
      <c r="X25" s="40">
        <f t="shared" si="32"/>
        <v>34.285714285714285</v>
      </c>
      <c r="Y25" s="40">
        <f t="shared" si="32"/>
        <v>34.285714285714285</v>
      </c>
      <c r="Z25" s="40">
        <f t="shared" si="32"/>
        <v>34.285714285714285</v>
      </c>
      <c r="AA25" s="40">
        <f t="shared" si="32"/>
        <v>31.428571428571427</v>
      </c>
      <c r="AB25" s="40">
        <f t="shared" si="32"/>
        <v>31.428571428571427</v>
      </c>
      <c r="AC25" s="40">
        <f t="shared" si="32"/>
        <v>31.428571428571427</v>
      </c>
      <c r="AD25" s="40">
        <f t="shared" si="32"/>
        <v>33.571428571428569</v>
      </c>
      <c r="AE25" s="40">
        <f t="shared" si="32"/>
        <v>33.571428571428569</v>
      </c>
      <c r="AF25" s="40">
        <f t="shared" si="32"/>
        <v>33.571428571428569</v>
      </c>
      <c r="AG25" s="40">
        <f t="shared" si="32"/>
        <v>33.571428571428569</v>
      </c>
      <c r="AH25" s="40">
        <f t="shared" si="32"/>
        <v>33.571428571428569</v>
      </c>
      <c r="AI25" s="40">
        <f t="shared" ref="AI25" si="35">AI24/7</f>
        <v>28.571428571428573</v>
      </c>
    </row>
    <row r="26" spans="1:35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5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5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5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5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5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5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</row>
    <row r="40" spans="1:34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  <row r="50" spans="1:3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</row>
    <row r="51" spans="1:34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</row>
    <row r="52" spans="1:34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</row>
    <row r="53" spans="1:34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</row>
    <row r="54" spans="1:34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</row>
    <row r="55" spans="1:34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</row>
    <row r="56" spans="1:34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</row>
    <row r="57" spans="1:34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</row>
    <row r="58" spans="1:34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</row>
    <row r="59" spans="1:34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</row>
    <row r="60" spans="1:34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</row>
    <row r="61" spans="1:34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</row>
    <row r="62" spans="1:34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</row>
    <row r="63" spans="1:34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</row>
    <row r="64" spans="1:34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</row>
    <row r="65" spans="1:34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</row>
    <row r="66" spans="1:34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</row>
    <row r="67" spans="1:34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</row>
    <row r="68" spans="1:34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</row>
    <row r="69" spans="1:34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</row>
    <row r="70" spans="1:34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</row>
    <row r="71" spans="1:34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</row>
    <row r="72" spans="1:34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</row>
    <row r="73" spans="1:34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</row>
    <row r="74" spans="1:34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</row>
    <row r="75" spans="1:34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</row>
    <row r="76" spans="1:34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</row>
    <row r="77" spans="1:34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</row>
    <row r="78" spans="1:34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</row>
    <row r="79" spans="1:34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</row>
    <row r="80" spans="1:34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</row>
    <row r="81" spans="1:34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</row>
    <row r="82" spans="1:34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</row>
    <row r="83" spans="1:34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</row>
    <row r="84" spans="1:34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</row>
    <row r="85" spans="1:34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</row>
    <row r="86" spans="1:34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</row>
    <row r="87" spans="1:3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</row>
    <row r="88" spans="1:34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</row>
    <row r="89" spans="1:34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</row>
    <row r="90" spans="1:34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</row>
    <row r="91" spans="1:34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</row>
    <row r="92" spans="1:34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</row>
    <row r="93" spans="1:34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</row>
    <row r="94" spans="1:34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</row>
    <row r="95" spans="1:34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</row>
    <row r="96" spans="1:34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</row>
    <row r="97" spans="1:34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</row>
    <row r="98" spans="1:34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</row>
    <row r="99" spans="1:34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</row>
    <row r="100" spans="1:34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</row>
    <row r="101" spans="1:34" ht="15.75" customHeight="1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</row>
    <row r="102" spans="1:34" ht="15.75" customHeight="1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</row>
    <row r="103" spans="1:34" ht="15.75" customHeight="1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</row>
    <row r="104" spans="1:34" ht="15.75" customHeight="1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</row>
    <row r="105" spans="1:34" ht="15.75" customHeight="1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</row>
    <row r="106" spans="1:34" ht="15.75" customHeight="1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</row>
    <row r="107" spans="1:34" ht="15.75" customHeight="1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</row>
    <row r="108" spans="1:34" ht="15.75" customHeight="1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</row>
    <row r="109" spans="1:34" ht="15.75" customHeight="1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</row>
    <row r="110" spans="1:34" ht="15.75" customHeight="1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</row>
    <row r="111" spans="1:34" ht="15.75" customHeight="1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</row>
    <row r="112" spans="1:34" ht="15.75" customHeight="1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</row>
    <row r="113" spans="1:34" ht="15.75" customHeight="1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</row>
    <row r="114" spans="1:34" ht="15.75" customHeight="1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</row>
    <row r="115" spans="1:34" ht="15.75" customHeight="1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</row>
    <row r="116" spans="1:34" ht="15.75" customHeight="1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</row>
    <row r="117" spans="1:34" ht="15.75" customHeight="1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</row>
    <row r="118" spans="1:34" ht="15.75" customHeight="1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</row>
    <row r="119" spans="1:34" ht="15.75" customHeight="1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</row>
    <row r="120" spans="1:34" ht="15.75" customHeight="1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</row>
    <row r="121" spans="1:34" ht="15.75" customHeight="1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</row>
    <row r="122" spans="1:34" ht="15.75" customHeight="1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</row>
    <row r="123" spans="1:34" ht="15.75" customHeight="1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</row>
    <row r="124" spans="1:34" ht="15.75" customHeight="1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</row>
    <row r="125" spans="1:34" ht="15.75" customHeight="1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</row>
    <row r="126" spans="1:34" ht="15.75" customHeight="1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</row>
    <row r="127" spans="1:34" ht="15.75" customHeight="1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</row>
    <row r="128" spans="1:34" ht="15.75" customHeight="1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</row>
    <row r="129" spans="1:34" ht="15.75" customHeight="1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</row>
    <row r="130" spans="1:34" ht="15.75" customHeight="1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</row>
    <row r="131" spans="1:34" ht="15.75" customHeight="1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</row>
    <row r="132" spans="1:34" ht="15.75" customHeight="1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</row>
    <row r="133" spans="1:34" ht="15.75" customHeight="1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</row>
    <row r="134" spans="1:34" ht="15.75" customHeight="1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</row>
    <row r="135" spans="1:34" ht="15.75" customHeight="1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</row>
    <row r="136" spans="1:34" ht="15.75" customHeight="1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</row>
    <row r="137" spans="1:34" ht="15.75" customHeight="1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</row>
    <row r="138" spans="1:34" ht="15.75" customHeight="1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</row>
    <row r="139" spans="1:34" ht="15.75" customHeight="1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</row>
    <row r="140" spans="1:34" ht="15.75" customHeight="1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</row>
    <row r="141" spans="1:34" ht="15.75" customHeight="1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</row>
    <row r="142" spans="1:34" ht="15.75" customHeight="1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</row>
    <row r="143" spans="1:34" ht="15.75" customHeight="1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</row>
    <row r="144" spans="1:34" ht="15.75" customHeight="1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</row>
    <row r="145" spans="1:34" ht="15.75" customHeight="1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</row>
    <row r="146" spans="1:34" ht="15.75" customHeight="1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</row>
    <row r="147" spans="1:34" ht="15.75" customHeight="1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</row>
    <row r="148" spans="1:34" ht="15.75" customHeight="1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</row>
    <row r="149" spans="1:34" ht="15.75" customHeight="1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</row>
    <row r="150" spans="1:34" ht="15.75" customHeight="1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</row>
    <row r="151" spans="1:34" ht="15.75" customHeight="1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</row>
    <row r="152" spans="1:34" ht="15.75" customHeight="1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</row>
    <row r="153" spans="1:34" ht="15.75" customHeight="1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</row>
    <row r="154" spans="1:34" ht="15.75" customHeight="1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</row>
    <row r="155" spans="1:34" ht="15.75" customHeight="1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</row>
    <row r="156" spans="1:34" ht="15.75" customHeight="1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</row>
    <row r="157" spans="1:34" ht="15.75" customHeight="1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</row>
    <row r="158" spans="1:34" ht="15.75" customHeight="1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</row>
    <row r="159" spans="1:34" ht="15.75" customHeight="1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</row>
    <row r="160" spans="1:34" ht="15.75" customHeight="1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</row>
    <row r="161" spans="1:34" ht="15.75" customHeight="1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</row>
    <row r="162" spans="1:34" ht="15.75" customHeight="1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</row>
    <row r="163" spans="1:34" ht="15.75" customHeight="1" x14ac:dyDescent="0.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</row>
    <row r="164" spans="1:34" ht="15.75" customHeight="1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</row>
    <row r="165" spans="1:34" ht="15.75" customHeight="1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</row>
    <row r="166" spans="1:34" ht="15.75" customHeight="1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</row>
    <row r="167" spans="1:34" ht="15.75" customHeight="1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</row>
    <row r="168" spans="1:34" ht="15.75" customHeight="1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</row>
    <row r="169" spans="1:34" ht="15.75" customHeight="1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</row>
    <row r="170" spans="1:34" ht="15.75" customHeight="1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</row>
    <row r="171" spans="1:34" ht="15.75" customHeight="1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</row>
    <row r="172" spans="1:34" ht="15.75" customHeight="1" x14ac:dyDescent="0.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</row>
    <row r="173" spans="1:34" ht="15.75" customHeight="1" x14ac:dyDescent="0.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</row>
    <row r="174" spans="1:34" ht="15.75" customHeight="1" x14ac:dyDescent="0.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</row>
    <row r="175" spans="1:34" ht="15.75" customHeight="1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</row>
    <row r="176" spans="1:34" ht="15.75" customHeight="1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</row>
    <row r="177" spans="1:34" ht="15.75" customHeight="1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</row>
    <row r="178" spans="1:34" ht="15.75" customHeight="1" x14ac:dyDescent="0.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</row>
    <row r="179" spans="1:34" ht="15.75" customHeight="1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</row>
    <row r="180" spans="1:34" ht="15.75" customHeight="1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</row>
    <row r="181" spans="1:34" ht="15.75" customHeight="1" x14ac:dyDescent="0.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</row>
    <row r="182" spans="1:34" ht="15.75" customHeight="1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</row>
    <row r="183" spans="1:34" ht="15.75" customHeight="1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</row>
    <row r="184" spans="1:34" ht="15.75" customHeight="1" x14ac:dyDescent="0.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</row>
    <row r="185" spans="1:34" ht="15.75" customHeight="1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</row>
    <row r="186" spans="1:34" ht="15.75" customHeight="1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</row>
    <row r="187" spans="1:34" ht="15.75" customHeight="1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</row>
    <row r="188" spans="1:34" ht="15.75" customHeight="1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</row>
    <row r="189" spans="1:34" ht="15.75" customHeight="1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</row>
    <row r="190" spans="1:34" ht="15.75" customHeight="1" x14ac:dyDescent="0.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</row>
    <row r="191" spans="1:34" ht="15.75" customHeight="1" x14ac:dyDescent="0.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</row>
    <row r="192" spans="1:34" ht="15.75" customHeight="1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</row>
    <row r="193" spans="1:34" ht="15.75" customHeight="1" x14ac:dyDescent="0.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</row>
    <row r="194" spans="1:34" ht="15.75" customHeight="1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</row>
    <row r="195" spans="1:34" ht="15.75" customHeight="1" x14ac:dyDescent="0.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</row>
    <row r="196" spans="1:34" ht="15.75" customHeight="1" x14ac:dyDescent="0.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</row>
    <row r="197" spans="1:34" ht="15.75" customHeight="1" x14ac:dyDescent="0.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</row>
    <row r="198" spans="1:34" ht="15.75" customHeight="1" x14ac:dyDescent="0.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</row>
    <row r="199" spans="1:34" ht="15.75" customHeight="1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</row>
    <row r="200" spans="1:34" ht="15.75" customHeight="1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</row>
    <row r="201" spans="1:34" ht="15.75" customHeight="1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</row>
    <row r="202" spans="1:34" ht="15.75" customHeight="1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</row>
    <row r="203" spans="1:34" ht="15.75" customHeight="1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</row>
    <row r="204" spans="1:34" ht="15.75" customHeight="1" x14ac:dyDescent="0.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</row>
    <row r="205" spans="1:34" ht="15.75" customHeight="1" x14ac:dyDescent="0.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</row>
    <row r="206" spans="1:34" ht="15.75" customHeight="1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</row>
    <row r="207" spans="1:34" ht="15.75" customHeight="1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</row>
    <row r="208" spans="1:34" ht="15.75" customHeight="1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</row>
    <row r="209" spans="1:34" ht="15.75" customHeight="1" x14ac:dyDescent="0.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</row>
    <row r="210" spans="1:34" ht="15.75" customHeight="1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</row>
    <row r="211" spans="1:34" ht="15.75" customHeight="1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</row>
    <row r="212" spans="1:34" ht="15.75" customHeight="1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</row>
    <row r="213" spans="1:34" ht="15.75" customHeight="1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</row>
    <row r="214" spans="1:34" ht="15.75" customHeight="1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</row>
    <row r="215" spans="1:34" ht="15.75" customHeight="1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</row>
    <row r="216" spans="1:34" ht="15.75" customHeight="1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</row>
    <row r="217" spans="1:34" ht="15.75" customHeight="1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</row>
    <row r="218" spans="1:34" ht="15.75" customHeight="1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</row>
    <row r="219" spans="1:34" ht="15.75" customHeight="1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</row>
    <row r="220" spans="1:34" ht="15.75" customHeight="1" x14ac:dyDescent="0.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</row>
    <row r="221" spans="1:34" ht="15.75" customHeight="1" x14ac:dyDescent="0.2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</row>
    <row r="222" spans="1:34" ht="15.75" customHeight="1" x14ac:dyDescent="0.2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</row>
    <row r="223" spans="1:34" ht="15.75" customHeight="1" x14ac:dyDescent="0.2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</row>
    <row r="224" spans="1:34" ht="15.75" customHeight="1" x14ac:dyDescent="0.2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</row>
    <row r="225" spans="1:34" ht="15.75" customHeight="1" x14ac:dyDescent="0.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</row>
    <row r="226" spans="1:34" ht="15.75" customHeight="1" x14ac:dyDescent="0.2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</row>
    <row r="227" spans="1:34" ht="15.75" customHeight="1" x14ac:dyDescent="0.2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</row>
    <row r="228" spans="1:34" ht="15.75" customHeight="1" x14ac:dyDescent="0.2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</row>
    <row r="229" spans="1:34" ht="15.75" customHeight="1" x14ac:dyDescent="0.2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</row>
    <row r="230" spans="1:34" ht="15.75" customHeight="1" x14ac:dyDescent="0.2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</row>
    <row r="231" spans="1:34" ht="15.75" customHeight="1" x14ac:dyDescent="0.2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</row>
    <row r="232" spans="1:34" ht="15.75" customHeight="1" x14ac:dyDescent="0.2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</row>
    <row r="233" spans="1:34" ht="15.75" customHeight="1" x14ac:dyDescent="0.2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</row>
    <row r="234" spans="1:34" ht="15.75" customHeight="1" x14ac:dyDescent="0.2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</row>
    <row r="235" spans="1:34" ht="15.75" customHeight="1" x14ac:dyDescent="0.2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</row>
    <row r="236" spans="1:34" ht="15.75" customHeight="1" x14ac:dyDescent="0.2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</row>
    <row r="237" spans="1:34" ht="15.75" customHeight="1" x14ac:dyDescent="0.2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</row>
    <row r="238" spans="1:34" ht="15.75" customHeight="1" x14ac:dyDescent="0.2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</row>
    <row r="239" spans="1:34" ht="15.75" customHeight="1" x14ac:dyDescent="0.2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</row>
    <row r="240" spans="1:34" ht="15.75" customHeight="1" x14ac:dyDescent="0.2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</row>
    <row r="241" spans="1:34" ht="15.75" customHeight="1" x14ac:dyDescent="0.2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</row>
    <row r="242" spans="1:34" ht="15.75" customHeight="1" x14ac:dyDescent="0.2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</row>
    <row r="243" spans="1:34" ht="15.75" customHeight="1" x14ac:dyDescent="0.2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</row>
    <row r="244" spans="1:34" ht="15.75" customHeight="1" x14ac:dyDescent="0.2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</row>
    <row r="245" spans="1:34" ht="15.75" customHeight="1" x14ac:dyDescent="0.2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</row>
    <row r="246" spans="1:34" ht="15.75" customHeight="1" x14ac:dyDescent="0.2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</row>
    <row r="247" spans="1:34" ht="15.75" customHeight="1" x14ac:dyDescent="0.2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</row>
    <row r="248" spans="1:34" ht="15.75" customHeight="1" x14ac:dyDescent="0.2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</row>
    <row r="249" spans="1:34" ht="15.75" customHeight="1" x14ac:dyDescent="0.2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</row>
    <row r="250" spans="1:34" ht="15.75" customHeight="1" x14ac:dyDescent="0.2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</row>
    <row r="251" spans="1:34" ht="15.75" customHeight="1" x14ac:dyDescent="0.2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</row>
    <row r="252" spans="1:34" ht="15.75" customHeight="1" x14ac:dyDescent="0.2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</row>
    <row r="253" spans="1:34" ht="15.75" customHeight="1" x14ac:dyDescent="0.2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</row>
    <row r="254" spans="1:34" ht="15.75" customHeight="1" x14ac:dyDescent="0.2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</row>
    <row r="255" spans="1:34" ht="15.75" customHeight="1" x14ac:dyDescent="0.2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</row>
    <row r="256" spans="1:34" ht="15.75" customHeight="1" x14ac:dyDescent="0.2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</row>
    <row r="257" spans="1:34" ht="15.75" customHeight="1" x14ac:dyDescent="0.2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</row>
    <row r="258" spans="1:34" ht="15.75" customHeight="1" x14ac:dyDescent="0.2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</row>
    <row r="259" spans="1:34" ht="15.75" customHeight="1" x14ac:dyDescent="0.2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</row>
    <row r="260" spans="1:34" ht="15.75" customHeight="1" x14ac:dyDescent="0.2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</row>
    <row r="261" spans="1:34" ht="15.75" customHeight="1" x14ac:dyDescent="0.2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</row>
    <row r="262" spans="1:34" ht="15.75" customHeight="1" x14ac:dyDescent="0.2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</row>
    <row r="263" spans="1:34" ht="15.75" customHeight="1" x14ac:dyDescent="0.2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</row>
    <row r="264" spans="1:34" ht="15.75" customHeight="1" x14ac:dyDescent="0.2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</row>
    <row r="265" spans="1:34" ht="15.75" customHeight="1" x14ac:dyDescent="0.2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</row>
    <row r="266" spans="1:34" ht="15.75" customHeight="1" x14ac:dyDescent="0.2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</row>
    <row r="267" spans="1:34" ht="15.75" customHeight="1" x14ac:dyDescent="0.2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</row>
    <row r="268" spans="1:34" ht="15.75" customHeight="1" x14ac:dyDescent="0.2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</row>
    <row r="269" spans="1:34" ht="15.75" customHeight="1" x14ac:dyDescent="0.2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</row>
    <row r="270" spans="1:34" ht="15.75" customHeight="1" x14ac:dyDescent="0.2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</row>
    <row r="271" spans="1:34" ht="15.75" customHeight="1" x14ac:dyDescent="0.2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</row>
    <row r="272" spans="1:34" ht="15.75" customHeight="1" x14ac:dyDescent="0.2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</row>
    <row r="273" spans="1:34" ht="15.75" customHeight="1" x14ac:dyDescent="0.2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</row>
    <row r="274" spans="1:34" ht="15.75" customHeight="1" x14ac:dyDescent="0.2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</row>
    <row r="275" spans="1:34" ht="15.75" customHeight="1" x14ac:dyDescent="0.2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</row>
    <row r="276" spans="1:34" ht="15.75" customHeight="1" x14ac:dyDescent="0.2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</row>
    <row r="277" spans="1:34" ht="15.75" customHeight="1" x14ac:dyDescent="0.2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</row>
    <row r="278" spans="1:34" ht="15.75" customHeight="1" x14ac:dyDescent="0.2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</row>
    <row r="279" spans="1:34" ht="15.75" customHeight="1" x14ac:dyDescent="0.2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</row>
    <row r="280" spans="1:34" ht="15.75" customHeight="1" x14ac:dyDescent="0.2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</row>
    <row r="281" spans="1:34" ht="15.75" customHeight="1" x14ac:dyDescent="0.2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</row>
    <row r="282" spans="1:34" ht="15.75" customHeight="1" x14ac:dyDescent="0.2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</row>
    <row r="283" spans="1:34" ht="15.75" customHeight="1" x14ac:dyDescent="0.2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</row>
    <row r="284" spans="1:34" ht="15.75" customHeight="1" x14ac:dyDescent="0.2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</row>
    <row r="285" spans="1:34" ht="15.75" customHeight="1" x14ac:dyDescent="0.2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</row>
    <row r="286" spans="1:34" ht="15.75" customHeight="1" x14ac:dyDescent="0.2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</row>
    <row r="287" spans="1:34" ht="15.75" customHeight="1" x14ac:dyDescent="0.2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</row>
    <row r="288" spans="1:34" ht="15.75" customHeight="1" x14ac:dyDescent="0.2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</row>
    <row r="289" spans="1:34" ht="15.75" customHeight="1" x14ac:dyDescent="0.2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</row>
    <row r="290" spans="1:34" ht="15.75" customHeight="1" x14ac:dyDescent="0.2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</row>
    <row r="291" spans="1:34" ht="15.75" customHeight="1" x14ac:dyDescent="0.2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</row>
    <row r="292" spans="1:34" ht="15.75" customHeight="1" x14ac:dyDescent="0.2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</row>
    <row r="293" spans="1:34" ht="15.75" customHeight="1" x14ac:dyDescent="0.2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</row>
    <row r="294" spans="1:34" ht="15.75" customHeight="1" x14ac:dyDescent="0.2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</row>
    <row r="295" spans="1:34" ht="15.75" customHeight="1" x14ac:dyDescent="0.2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</row>
    <row r="296" spans="1:34" ht="15.75" customHeight="1" x14ac:dyDescent="0.2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</row>
    <row r="297" spans="1:34" ht="15.75" customHeight="1" x14ac:dyDescent="0.2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</row>
    <row r="298" spans="1:34" ht="15.75" customHeight="1" x14ac:dyDescent="0.2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</row>
    <row r="299" spans="1:34" ht="15.75" customHeight="1" x14ac:dyDescent="0.2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</row>
    <row r="300" spans="1:34" ht="15.75" customHeight="1" x14ac:dyDescent="0.2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</row>
    <row r="301" spans="1:34" ht="15.75" customHeight="1" x14ac:dyDescent="0.2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</row>
    <row r="302" spans="1:34" ht="15.75" customHeight="1" x14ac:dyDescent="0.2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</row>
    <row r="303" spans="1:34" ht="15.75" customHeight="1" x14ac:dyDescent="0.2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</row>
    <row r="304" spans="1:34" ht="15.75" customHeight="1" x14ac:dyDescent="0.2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</row>
    <row r="305" spans="1:34" ht="15.75" customHeight="1" x14ac:dyDescent="0.2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</row>
    <row r="306" spans="1:34" ht="15.75" customHeight="1" x14ac:dyDescent="0.2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</row>
    <row r="307" spans="1:34" ht="15.75" customHeight="1" x14ac:dyDescent="0.2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</row>
    <row r="308" spans="1:34" ht="15.75" customHeight="1" x14ac:dyDescent="0.2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</row>
    <row r="309" spans="1:34" ht="15.75" customHeight="1" x14ac:dyDescent="0.2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</row>
    <row r="310" spans="1:34" ht="15.75" customHeight="1" x14ac:dyDescent="0.2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</row>
    <row r="311" spans="1:34" ht="15.75" customHeight="1" x14ac:dyDescent="0.2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</row>
    <row r="312" spans="1:34" ht="15.75" customHeight="1" x14ac:dyDescent="0.2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</row>
    <row r="313" spans="1:34" ht="15.75" customHeight="1" x14ac:dyDescent="0.2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</row>
    <row r="314" spans="1:34" ht="15.75" customHeight="1" x14ac:dyDescent="0.2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</row>
    <row r="315" spans="1:34" ht="15.75" customHeight="1" x14ac:dyDescent="0.2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</row>
    <row r="316" spans="1:34" ht="15.75" customHeight="1" x14ac:dyDescent="0.2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</row>
    <row r="317" spans="1:34" ht="15.75" customHeight="1" x14ac:dyDescent="0.2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</row>
    <row r="318" spans="1:34" ht="15.75" customHeight="1" x14ac:dyDescent="0.2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</row>
    <row r="319" spans="1:34" ht="15.75" customHeight="1" x14ac:dyDescent="0.2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</row>
    <row r="320" spans="1:34" ht="15.75" customHeight="1" x14ac:dyDescent="0.2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</row>
    <row r="321" spans="1:34" ht="15.75" customHeight="1" x14ac:dyDescent="0.2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</row>
    <row r="322" spans="1:34" ht="15.75" customHeight="1" x14ac:dyDescent="0.2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</row>
    <row r="323" spans="1:34" ht="15.75" customHeight="1" x14ac:dyDescent="0.2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</row>
    <row r="324" spans="1:34" ht="15.75" customHeight="1" x14ac:dyDescent="0.2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</row>
    <row r="325" spans="1:34" ht="15.75" customHeight="1" x14ac:dyDescent="0.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</row>
    <row r="326" spans="1:34" ht="15.75" customHeight="1" x14ac:dyDescent="0.2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</row>
    <row r="327" spans="1:34" ht="15.75" customHeight="1" x14ac:dyDescent="0.2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</row>
    <row r="328" spans="1:34" ht="15.75" customHeight="1" x14ac:dyDescent="0.2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</row>
    <row r="329" spans="1:34" ht="15.75" customHeight="1" x14ac:dyDescent="0.2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</row>
    <row r="330" spans="1:34" ht="15.75" customHeight="1" x14ac:dyDescent="0.2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</row>
    <row r="331" spans="1:34" ht="15.75" customHeight="1" x14ac:dyDescent="0.2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</row>
    <row r="332" spans="1:34" ht="15.75" customHeight="1" x14ac:dyDescent="0.2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</row>
    <row r="333" spans="1:34" ht="15.75" customHeight="1" x14ac:dyDescent="0.2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</row>
    <row r="334" spans="1:34" ht="15.75" customHeight="1" x14ac:dyDescent="0.2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</row>
    <row r="335" spans="1:34" ht="15.75" customHeight="1" x14ac:dyDescent="0.2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</row>
    <row r="336" spans="1:34" ht="15.75" customHeight="1" x14ac:dyDescent="0.25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</row>
    <row r="337" spans="1:34" ht="15.75" customHeight="1" x14ac:dyDescent="0.25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</row>
    <row r="338" spans="1:34" ht="15.75" customHeight="1" x14ac:dyDescent="0.25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</row>
    <row r="339" spans="1:34" ht="15.75" customHeight="1" x14ac:dyDescent="0.25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</row>
    <row r="340" spans="1:34" ht="15.75" customHeight="1" x14ac:dyDescent="0.25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</row>
    <row r="341" spans="1:34" ht="15.75" customHeight="1" x14ac:dyDescent="0.25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</row>
    <row r="342" spans="1:34" ht="15.75" customHeight="1" x14ac:dyDescent="0.25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</row>
    <row r="343" spans="1:34" ht="15.75" customHeight="1" x14ac:dyDescent="0.25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</row>
    <row r="344" spans="1:34" ht="15.75" customHeight="1" x14ac:dyDescent="0.2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</row>
    <row r="345" spans="1:34" ht="15.75" customHeight="1" x14ac:dyDescent="0.2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</row>
    <row r="346" spans="1:34" ht="15.75" customHeight="1" x14ac:dyDescent="0.2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</row>
    <row r="347" spans="1:34" ht="15.75" customHeight="1" x14ac:dyDescent="0.2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</row>
    <row r="348" spans="1:34" ht="15.75" customHeight="1" x14ac:dyDescent="0.2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</row>
    <row r="349" spans="1:34" ht="15.75" customHeight="1" x14ac:dyDescent="0.2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</row>
    <row r="350" spans="1:34" ht="15.75" customHeight="1" x14ac:dyDescent="0.2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</row>
    <row r="351" spans="1:34" ht="15.75" customHeight="1" x14ac:dyDescent="0.2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</row>
    <row r="352" spans="1:34" ht="15.75" customHeight="1" x14ac:dyDescent="0.2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</row>
    <row r="353" spans="1:34" ht="15.75" customHeight="1" x14ac:dyDescent="0.2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</row>
    <row r="354" spans="1:34" ht="15.75" customHeight="1" x14ac:dyDescent="0.25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</row>
    <row r="355" spans="1:34" ht="15.75" customHeight="1" x14ac:dyDescent="0.2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</row>
    <row r="356" spans="1:34" ht="15.75" customHeight="1" x14ac:dyDescent="0.25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</row>
    <row r="357" spans="1:34" ht="15.75" customHeight="1" x14ac:dyDescent="0.2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</row>
    <row r="358" spans="1:34" ht="15.75" customHeight="1" x14ac:dyDescent="0.2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</row>
    <row r="359" spans="1:34" ht="15.75" customHeight="1" x14ac:dyDescent="0.25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</row>
    <row r="360" spans="1:34" ht="15.75" customHeight="1" x14ac:dyDescent="0.25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</row>
    <row r="361" spans="1:34" ht="15.75" customHeight="1" x14ac:dyDescent="0.25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</row>
    <row r="362" spans="1:34" ht="15.75" customHeight="1" x14ac:dyDescent="0.25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</row>
    <row r="363" spans="1:34" ht="15.75" customHeight="1" x14ac:dyDescent="0.25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</row>
    <row r="364" spans="1:34" ht="15.75" customHeight="1" x14ac:dyDescent="0.2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</row>
    <row r="365" spans="1:34" ht="15.75" customHeight="1" x14ac:dyDescent="0.2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</row>
    <row r="366" spans="1:34" ht="15.75" customHeight="1" x14ac:dyDescent="0.2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</row>
    <row r="367" spans="1:34" ht="15.75" customHeight="1" x14ac:dyDescent="0.2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</row>
    <row r="368" spans="1:34" ht="15.75" customHeight="1" x14ac:dyDescent="0.2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</row>
    <row r="369" spans="1:34" ht="15.75" customHeight="1" x14ac:dyDescent="0.2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</row>
    <row r="370" spans="1:34" ht="15.75" customHeight="1" x14ac:dyDescent="0.2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</row>
    <row r="371" spans="1:34" ht="15.75" customHeight="1" x14ac:dyDescent="0.2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</row>
    <row r="372" spans="1:34" ht="15.75" customHeight="1" x14ac:dyDescent="0.2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</row>
    <row r="373" spans="1:34" ht="15.75" customHeight="1" x14ac:dyDescent="0.2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</row>
    <row r="374" spans="1:34" ht="15.75" customHeight="1" x14ac:dyDescent="0.2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</row>
    <row r="375" spans="1:34" ht="15.75" customHeight="1" x14ac:dyDescent="0.2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</row>
    <row r="376" spans="1:34" ht="15.75" customHeight="1" x14ac:dyDescent="0.2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</row>
    <row r="377" spans="1:34" ht="15.75" customHeight="1" x14ac:dyDescent="0.2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</row>
    <row r="378" spans="1:34" ht="15.75" customHeight="1" x14ac:dyDescent="0.2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</row>
    <row r="379" spans="1:34" ht="15.75" customHeight="1" x14ac:dyDescent="0.2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</row>
    <row r="380" spans="1:34" ht="15.75" customHeight="1" x14ac:dyDescent="0.2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</row>
    <row r="381" spans="1:34" ht="15.75" customHeight="1" x14ac:dyDescent="0.2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</row>
    <row r="382" spans="1:34" ht="15.75" customHeight="1" x14ac:dyDescent="0.2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</row>
    <row r="383" spans="1:34" ht="15.75" customHeight="1" x14ac:dyDescent="0.2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</row>
    <row r="384" spans="1:34" ht="15.75" customHeight="1" x14ac:dyDescent="0.2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</row>
    <row r="385" spans="1:34" ht="15.75" customHeight="1" x14ac:dyDescent="0.2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</row>
    <row r="386" spans="1:34" ht="15.75" customHeight="1" x14ac:dyDescent="0.2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</row>
    <row r="387" spans="1:34" ht="15.75" customHeight="1" x14ac:dyDescent="0.2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</row>
    <row r="388" spans="1:34" ht="15.75" customHeight="1" x14ac:dyDescent="0.2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</row>
    <row r="389" spans="1:34" ht="15.75" customHeight="1" x14ac:dyDescent="0.2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</row>
    <row r="390" spans="1:34" ht="15.75" customHeight="1" x14ac:dyDescent="0.2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</row>
    <row r="391" spans="1:34" ht="15.75" customHeight="1" x14ac:dyDescent="0.2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</row>
    <row r="392" spans="1:34" ht="15.75" customHeight="1" x14ac:dyDescent="0.2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</row>
    <row r="393" spans="1:34" ht="15.75" customHeight="1" x14ac:dyDescent="0.2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</row>
    <row r="394" spans="1:34" ht="15.75" customHeight="1" x14ac:dyDescent="0.2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</row>
    <row r="395" spans="1:34" ht="15.75" customHeight="1" x14ac:dyDescent="0.2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</row>
    <row r="396" spans="1:34" ht="15.75" customHeight="1" x14ac:dyDescent="0.25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</row>
    <row r="397" spans="1:34" ht="15.75" customHeight="1" x14ac:dyDescent="0.25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</row>
    <row r="398" spans="1:34" ht="15.75" customHeight="1" x14ac:dyDescent="0.25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</row>
    <row r="399" spans="1:34" ht="15.75" customHeight="1" x14ac:dyDescent="0.2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</row>
    <row r="400" spans="1:34" ht="15.75" customHeight="1" x14ac:dyDescent="0.25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</row>
    <row r="401" spans="1:34" ht="15.75" customHeight="1" x14ac:dyDescent="0.2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</row>
    <row r="402" spans="1:34" ht="15.75" customHeight="1" x14ac:dyDescent="0.2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</row>
    <row r="403" spans="1:34" ht="15.75" customHeight="1" x14ac:dyDescent="0.25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</row>
    <row r="404" spans="1:34" ht="15.75" customHeight="1" x14ac:dyDescent="0.2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</row>
    <row r="405" spans="1:34" ht="15.75" customHeight="1" x14ac:dyDescent="0.2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</row>
    <row r="406" spans="1:34" ht="15.75" customHeight="1" x14ac:dyDescent="0.2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</row>
    <row r="407" spans="1:34" ht="15.75" customHeight="1" x14ac:dyDescent="0.2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</row>
    <row r="408" spans="1:34" ht="15.75" customHeight="1" x14ac:dyDescent="0.2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</row>
    <row r="409" spans="1:34" ht="15.75" customHeight="1" x14ac:dyDescent="0.2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</row>
    <row r="410" spans="1:34" ht="15.75" customHeight="1" x14ac:dyDescent="0.2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</row>
    <row r="411" spans="1:34" ht="15.75" customHeight="1" x14ac:dyDescent="0.2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</row>
    <row r="412" spans="1:34" ht="15.75" customHeight="1" x14ac:dyDescent="0.25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</row>
    <row r="413" spans="1:34" ht="15.75" customHeight="1" x14ac:dyDescent="0.25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</row>
    <row r="414" spans="1:34" ht="15.75" customHeight="1" x14ac:dyDescent="0.2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</row>
    <row r="415" spans="1:34" ht="15.75" customHeight="1" x14ac:dyDescent="0.2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</row>
    <row r="416" spans="1:34" ht="15.75" customHeight="1" x14ac:dyDescent="0.2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</row>
    <row r="417" spans="1:34" ht="15.75" customHeight="1" x14ac:dyDescent="0.2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</row>
    <row r="418" spans="1:34" ht="15.75" customHeight="1" x14ac:dyDescent="0.2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</row>
    <row r="419" spans="1:34" ht="15.75" customHeight="1" x14ac:dyDescent="0.25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</row>
    <row r="420" spans="1:34" ht="15.75" customHeight="1" x14ac:dyDescent="0.2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</row>
    <row r="421" spans="1:34" ht="15.75" customHeight="1" x14ac:dyDescent="0.2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</row>
    <row r="422" spans="1:34" ht="15.75" customHeight="1" x14ac:dyDescent="0.2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</row>
    <row r="423" spans="1:34" ht="15.75" customHeight="1" x14ac:dyDescent="0.2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</row>
    <row r="424" spans="1:34" ht="15.75" customHeight="1" x14ac:dyDescent="0.2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</row>
    <row r="425" spans="1:34" ht="15.75" customHeight="1" x14ac:dyDescent="0.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</row>
    <row r="426" spans="1:34" ht="15.75" customHeight="1" x14ac:dyDescent="0.2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</row>
    <row r="427" spans="1:34" ht="15.75" customHeight="1" x14ac:dyDescent="0.2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</row>
    <row r="428" spans="1:34" ht="15.75" customHeight="1" x14ac:dyDescent="0.2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</row>
    <row r="429" spans="1:34" ht="15.75" customHeight="1" x14ac:dyDescent="0.2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</row>
    <row r="430" spans="1:34" ht="15.75" customHeight="1" x14ac:dyDescent="0.25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</row>
    <row r="431" spans="1:34" ht="15.75" customHeight="1" x14ac:dyDescent="0.25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</row>
    <row r="432" spans="1:34" ht="15.75" customHeight="1" x14ac:dyDescent="0.25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</row>
    <row r="433" spans="1:34" ht="15.75" customHeight="1" x14ac:dyDescent="0.25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</row>
    <row r="434" spans="1:34" ht="15.75" customHeight="1" x14ac:dyDescent="0.25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</row>
    <row r="435" spans="1:34" ht="15.75" customHeight="1" x14ac:dyDescent="0.2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</row>
    <row r="436" spans="1:34" ht="15.75" customHeight="1" x14ac:dyDescent="0.25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</row>
    <row r="437" spans="1:34" ht="15.75" customHeight="1" x14ac:dyDescent="0.25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</row>
    <row r="438" spans="1:34" ht="15.75" customHeight="1" x14ac:dyDescent="0.25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</row>
    <row r="439" spans="1:34" ht="15.75" customHeight="1" x14ac:dyDescent="0.25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</row>
    <row r="440" spans="1:34" ht="15.75" customHeight="1" x14ac:dyDescent="0.25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</row>
    <row r="441" spans="1:34" ht="15.75" customHeight="1" x14ac:dyDescent="0.25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</row>
    <row r="442" spans="1:34" ht="15.75" customHeight="1" x14ac:dyDescent="0.25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</row>
    <row r="443" spans="1:34" ht="15.75" customHeight="1" x14ac:dyDescent="0.2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</row>
    <row r="444" spans="1:34" ht="15.75" customHeight="1" x14ac:dyDescent="0.25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</row>
    <row r="445" spans="1:34" ht="15.75" customHeight="1" x14ac:dyDescent="0.2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</row>
    <row r="446" spans="1:34" ht="15.75" customHeight="1" x14ac:dyDescent="0.25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</row>
    <row r="447" spans="1:34" ht="15.75" customHeight="1" x14ac:dyDescent="0.25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</row>
    <row r="448" spans="1:34" ht="15.75" customHeight="1" x14ac:dyDescent="0.25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</row>
    <row r="449" spans="1:34" ht="15.75" customHeight="1" x14ac:dyDescent="0.25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</row>
    <row r="450" spans="1:34" ht="15.75" customHeight="1" x14ac:dyDescent="0.25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</row>
    <row r="451" spans="1:34" ht="15.75" customHeight="1" x14ac:dyDescent="0.25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</row>
    <row r="452" spans="1:34" ht="15.75" customHeight="1" x14ac:dyDescent="0.25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</row>
    <row r="453" spans="1:34" ht="15.75" customHeight="1" x14ac:dyDescent="0.25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</row>
    <row r="454" spans="1:34" ht="15.75" customHeight="1" x14ac:dyDescent="0.25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</row>
    <row r="455" spans="1:34" ht="15.75" customHeight="1" x14ac:dyDescent="0.2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</row>
    <row r="456" spans="1:34" ht="15.75" customHeight="1" x14ac:dyDescent="0.25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</row>
    <row r="457" spans="1:34" ht="15.75" customHeight="1" x14ac:dyDescent="0.25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</row>
    <row r="458" spans="1:34" ht="15.75" customHeight="1" x14ac:dyDescent="0.25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</row>
    <row r="459" spans="1:34" ht="15.75" customHeight="1" x14ac:dyDescent="0.2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</row>
    <row r="460" spans="1:34" ht="15.75" customHeight="1" x14ac:dyDescent="0.2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</row>
    <row r="461" spans="1:34" ht="15.75" customHeight="1" x14ac:dyDescent="0.25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</row>
    <row r="462" spans="1:34" ht="15.75" customHeight="1" x14ac:dyDescent="0.25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</row>
    <row r="463" spans="1:34" ht="15.75" customHeight="1" x14ac:dyDescent="0.25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</row>
    <row r="464" spans="1:34" ht="15.75" customHeight="1" x14ac:dyDescent="0.2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</row>
    <row r="465" spans="1:34" ht="15.75" customHeight="1" x14ac:dyDescent="0.2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</row>
    <row r="466" spans="1:34" ht="15.75" customHeight="1" x14ac:dyDescent="0.2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</row>
    <row r="467" spans="1:34" ht="15.75" customHeight="1" x14ac:dyDescent="0.2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</row>
    <row r="468" spans="1:34" ht="15.75" customHeight="1" x14ac:dyDescent="0.2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</row>
    <row r="469" spans="1:34" ht="15.75" customHeight="1" x14ac:dyDescent="0.25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</row>
    <row r="470" spans="1:34" ht="15.75" customHeight="1" x14ac:dyDescent="0.25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</row>
    <row r="471" spans="1:34" ht="15.75" customHeight="1" x14ac:dyDescent="0.25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</row>
    <row r="472" spans="1:34" ht="15.75" customHeight="1" x14ac:dyDescent="0.25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</row>
    <row r="473" spans="1:34" ht="15.75" customHeight="1" x14ac:dyDescent="0.25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</row>
    <row r="474" spans="1:34" ht="15.75" customHeight="1" x14ac:dyDescent="0.25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</row>
    <row r="475" spans="1:34" ht="15.75" customHeight="1" x14ac:dyDescent="0.2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</row>
    <row r="476" spans="1:34" ht="15.75" customHeight="1" x14ac:dyDescent="0.25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</row>
    <row r="477" spans="1:34" ht="15.75" customHeight="1" x14ac:dyDescent="0.25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</row>
    <row r="478" spans="1:34" ht="15.75" customHeight="1" x14ac:dyDescent="0.25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</row>
    <row r="479" spans="1:34" ht="15.75" customHeight="1" x14ac:dyDescent="0.25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</row>
    <row r="480" spans="1:34" ht="15.75" customHeight="1" x14ac:dyDescent="0.2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</row>
    <row r="481" spans="1:34" ht="15.75" customHeight="1" x14ac:dyDescent="0.2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</row>
    <row r="482" spans="1:34" ht="15.75" customHeight="1" x14ac:dyDescent="0.25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</row>
    <row r="483" spans="1:34" ht="15.75" customHeight="1" x14ac:dyDescent="0.25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</row>
    <row r="484" spans="1:34" ht="15.75" customHeight="1" x14ac:dyDescent="0.25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</row>
    <row r="485" spans="1:34" ht="15.75" customHeight="1" x14ac:dyDescent="0.2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</row>
    <row r="486" spans="1:34" ht="15.75" customHeight="1" x14ac:dyDescent="0.25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</row>
    <row r="487" spans="1:34" ht="15.75" customHeight="1" x14ac:dyDescent="0.25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</row>
    <row r="488" spans="1:34" ht="15.75" customHeight="1" x14ac:dyDescent="0.25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</row>
    <row r="489" spans="1:34" ht="15.75" customHeight="1" x14ac:dyDescent="0.25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</row>
    <row r="490" spans="1:34" ht="15.75" customHeight="1" x14ac:dyDescent="0.25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</row>
    <row r="491" spans="1:34" ht="15.75" customHeight="1" x14ac:dyDescent="0.25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</row>
    <row r="492" spans="1:34" ht="15.75" customHeight="1" x14ac:dyDescent="0.25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</row>
    <row r="493" spans="1:34" ht="15.75" customHeight="1" x14ac:dyDescent="0.25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</row>
    <row r="494" spans="1:34" ht="15.75" customHeight="1" x14ac:dyDescent="0.25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</row>
    <row r="495" spans="1:34" ht="15.75" customHeight="1" x14ac:dyDescent="0.2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</row>
    <row r="496" spans="1:34" ht="15.75" customHeight="1" x14ac:dyDescent="0.25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</row>
    <row r="497" spans="1:34" ht="15.75" customHeight="1" x14ac:dyDescent="0.25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</row>
    <row r="498" spans="1:34" ht="15.75" customHeight="1" x14ac:dyDescent="0.25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</row>
    <row r="499" spans="1:34" ht="15.75" customHeight="1" x14ac:dyDescent="0.25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</row>
    <row r="500" spans="1:34" ht="15.75" customHeight="1" x14ac:dyDescent="0.25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</row>
    <row r="501" spans="1:34" ht="15.75" customHeight="1" x14ac:dyDescent="0.25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</row>
    <row r="502" spans="1:34" ht="15.75" customHeight="1" x14ac:dyDescent="0.25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</row>
    <row r="503" spans="1:34" ht="15.75" customHeight="1" x14ac:dyDescent="0.25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</row>
    <row r="504" spans="1:34" ht="15.75" customHeight="1" x14ac:dyDescent="0.25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</row>
    <row r="505" spans="1:34" ht="15.75" customHeight="1" x14ac:dyDescent="0.2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</row>
    <row r="506" spans="1:34" ht="15.75" customHeight="1" x14ac:dyDescent="0.25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</row>
    <row r="507" spans="1:34" ht="15.75" customHeight="1" x14ac:dyDescent="0.25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</row>
    <row r="508" spans="1:34" ht="15.75" customHeight="1" x14ac:dyDescent="0.25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</row>
    <row r="509" spans="1:34" ht="15.75" customHeight="1" x14ac:dyDescent="0.25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</row>
    <row r="510" spans="1:34" ht="15.75" customHeight="1" x14ac:dyDescent="0.25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</row>
    <row r="511" spans="1:34" ht="15.75" customHeight="1" x14ac:dyDescent="0.25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</row>
    <row r="512" spans="1:34" ht="15.75" customHeight="1" x14ac:dyDescent="0.25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</row>
    <row r="513" spans="1:34" ht="15.75" customHeight="1" x14ac:dyDescent="0.25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</row>
    <row r="514" spans="1:34" ht="15.75" customHeight="1" x14ac:dyDescent="0.25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</row>
    <row r="515" spans="1:34" ht="15.75" customHeight="1" x14ac:dyDescent="0.2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</row>
    <row r="516" spans="1:34" ht="15.75" customHeight="1" x14ac:dyDescent="0.25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</row>
    <row r="517" spans="1:34" ht="15.75" customHeight="1" x14ac:dyDescent="0.25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</row>
    <row r="518" spans="1:34" ht="15.75" customHeight="1" x14ac:dyDescent="0.25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</row>
    <row r="519" spans="1:34" ht="15.75" customHeight="1" x14ac:dyDescent="0.25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</row>
    <row r="520" spans="1:34" ht="15.75" customHeight="1" x14ac:dyDescent="0.25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</row>
    <row r="521" spans="1:34" ht="15.75" customHeight="1" x14ac:dyDescent="0.25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</row>
    <row r="522" spans="1:34" ht="15.75" customHeight="1" x14ac:dyDescent="0.25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</row>
    <row r="523" spans="1:34" ht="15.75" customHeight="1" x14ac:dyDescent="0.25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</row>
    <row r="524" spans="1:34" ht="15.75" customHeight="1" x14ac:dyDescent="0.25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</row>
    <row r="525" spans="1:34" ht="15.75" customHeight="1" x14ac:dyDescent="0.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</row>
    <row r="526" spans="1:34" ht="15.75" customHeight="1" x14ac:dyDescent="0.25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</row>
    <row r="527" spans="1:34" ht="15.75" customHeight="1" x14ac:dyDescent="0.25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</row>
    <row r="528" spans="1:34" ht="15.75" customHeight="1" x14ac:dyDescent="0.25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</row>
    <row r="529" spans="1:34" ht="15.75" customHeight="1" x14ac:dyDescent="0.25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</row>
    <row r="530" spans="1:34" ht="15.75" customHeight="1" x14ac:dyDescent="0.25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</row>
    <row r="531" spans="1:34" ht="15.75" customHeight="1" x14ac:dyDescent="0.25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</row>
    <row r="532" spans="1:34" ht="15.75" customHeight="1" x14ac:dyDescent="0.25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</row>
    <row r="533" spans="1:34" ht="15.75" customHeight="1" x14ac:dyDescent="0.25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</row>
    <row r="534" spans="1:34" ht="15.75" customHeight="1" x14ac:dyDescent="0.25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</row>
    <row r="535" spans="1:34" ht="15.75" customHeight="1" x14ac:dyDescent="0.2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</row>
    <row r="536" spans="1:34" ht="15.75" customHeight="1" x14ac:dyDescent="0.25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</row>
    <row r="537" spans="1:34" ht="15.75" customHeight="1" x14ac:dyDescent="0.25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</row>
    <row r="538" spans="1:34" ht="15.75" customHeight="1" x14ac:dyDescent="0.25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</row>
    <row r="539" spans="1:34" ht="15.75" customHeight="1" x14ac:dyDescent="0.25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</row>
    <row r="540" spans="1:34" ht="15.75" customHeight="1" x14ac:dyDescent="0.25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</row>
    <row r="541" spans="1:34" ht="15.75" customHeight="1" x14ac:dyDescent="0.25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</row>
    <row r="542" spans="1:34" ht="15.75" customHeight="1" x14ac:dyDescent="0.25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</row>
    <row r="543" spans="1:34" ht="15.75" customHeight="1" x14ac:dyDescent="0.25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</row>
    <row r="544" spans="1:34" ht="15.75" customHeight="1" x14ac:dyDescent="0.25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</row>
    <row r="545" spans="1:34" ht="15.75" customHeight="1" x14ac:dyDescent="0.2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</row>
    <row r="546" spans="1:34" ht="15.75" customHeight="1" x14ac:dyDescent="0.25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</row>
    <row r="547" spans="1:34" ht="15.75" customHeight="1" x14ac:dyDescent="0.25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</row>
    <row r="548" spans="1:34" ht="15.75" customHeight="1" x14ac:dyDescent="0.25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</row>
    <row r="549" spans="1:34" ht="15.75" customHeight="1" x14ac:dyDescent="0.25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</row>
    <row r="550" spans="1:34" ht="15.75" customHeight="1" x14ac:dyDescent="0.25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</row>
    <row r="551" spans="1:34" ht="15.75" customHeight="1" x14ac:dyDescent="0.25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</row>
    <row r="552" spans="1:34" ht="15.75" customHeight="1" x14ac:dyDescent="0.25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</row>
    <row r="553" spans="1:34" ht="15.75" customHeight="1" x14ac:dyDescent="0.25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</row>
    <row r="554" spans="1:34" ht="15.75" customHeight="1" x14ac:dyDescent="0.25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</row>
    <row r="555" spans="1:34" ht="15.75" customHeight="1" x14ac:dyDescent="0.2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</row>
    <row r="556" spans="1:34" ht="15.75" customHeight="1" x14ac:dyDescent="0.25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</row>
    <row r="557" spans="1:34" ht="15.75" customHeight="1" x14ac:dyDescent="0.25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</row>
    <row r="558" spans="1:34" ht="15.75" customHeight="1" x14ac:dyDescent="0.25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</row>
    <row r="559" spans="1:34" ht="15.75" customHeight="1" x14ac:dyDescent="0.25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</row>
    <row r="560" spans="1:34" ht="15.75" customHeight="1" x14ac:dyDescent="0.25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</row>
    <row r="561" spans="1:34" ht="15.75" customHeight="1" x14ac:dyDescent="0.25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</row>
    <row r="562" spans="1:34" ht="15.75" customHeight="1" x14ac:dyDescent="0.25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</row>
    <row r="563" spans="1:34" ht="15.75" customHeight="1" x14ac:dyDescent="0.25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</row>
    <row r="564" spans="1:34" ht="15.75" customHeight="1" x14ac:dyDescent="0.25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</row>
    <row r="565" spans="1:34" ht="15.75" customHeight="1" x14ac:dyDescent="0.2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</row>
    <row r="566" spans="1:34" ht="15.75" customHeight="1" x14ac:dyDescent="0.25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</row>
    <row r="567" spans="1:34" ht="15.75" customHeight="1" x14ac:dyDescent="0.25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</row>
    <row r="568" spans="1:34" ht="15.75" customHeight="1" x14ac:dyDescent="0.25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</row>
    <row r="569" spans="1:34" ht="15.75" customHeight="1" x14ac:dyDescent="0.25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</row>
    <row r="570" spans="1:34" ht="15.75" customHeight="1" x14ac:dyDescent="0.25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</row>
    <row r="571" spans="1:34" ht="15.75" customHeight="1" x14ac:dyDescent="0.25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</row>
    <row r="572" spans="1:34" ht="15.75" customHeight="1" x14ac:dyDescent="0.25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</row>
    <row r="573" spans="1:34" ht="15.75" customHeight="1" x14ac:dyDescent="0.25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</row>
    <row r="574" spans="1:34" ht="15.75" customHeight="1" x14ac:dyDescent="0.25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</row>
    <row r="575" spans="1:34" ht="15.75" customHeight="1" x14ac:dyDescent="0.2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</row>
    <row r="576" spans="1:34" ht="15.75" customHeight="1" x14ac:dyDescent="0.25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</row>
    <row r="577" spans="1:34" ht="15.75" customHeight="1" x14ac:dyDescent="0.25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</row>
    <row r="578" spans="1:34" ht="15.75" customHeight="1" x14ac:dyDescent="0.25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</row>
    <row r="579" spans="1:34" ht="15.75" customHeight="1" x14ac:dyDescent="0.25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</row>
    <row r="580" spans="1:34" ht="15.75" customHeight="1" x14ac:dyDescent="0.25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</row>
    <row r="581" spans="1:34" ht="15.75" customHeight="1" x14ac:dyDescent="0.25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</row>
    <row r="582" spans="1:34" ht="15.75" customHeight="1" x14ac:dyDescent="0.25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</row>
    <row r="583" spans="1:34" ht="15.75" customHeight="1" x14ac:dyDescent="0.25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</row>
    <row r="584" spans="1:34" ht="15.75" customHeight="1" x14ac:dyDescent="0.25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</row>
    <row r="585" spans="1:34" ht="15.75" customHeight="1" x14ac:dyDescent="0.2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</row>
    <row r="586" spans="1:34" ht="15.75" customHeight="1" x14ac:dyDescent="0.25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</row>
    <row r="587" spans="1:34" ht="15.75" customHeight="1" x14ac:dyDescent="0.25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</row>
    <row r="588" spans="1:34" ht="15.75" customHeight="1" x14ac:dyDescent="0.25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</row>
    <row r="589" spans="1:34" ht="15.75" customHeight="1" x14ac:dyDescent="0.25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</row>
    <row r="590" spans="1:34" ht="15.75" customHeight="1" x14ac:dyDescent="0.25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</row>
    <row r="591" spans="1:34" ht="15.75" customHeight="1" x14ac:dyDescent="0.25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</row>
    <row r="592" spans="1:34" ht="15.75" customHeight="1" x14ac:dyDescent="0.25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</row>
    <row r="593" spans="1:34" ht="15.75" customHeight="1" x14ac:dyDescent="0.25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</row>
    <row r="594" spans="1:34" ht="15.75" customHeight="1" x14ac:dyDescent="0.25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</row>
    <row r="595" spans="1:34" ht="15.75" customHeight="1" x14ac:dyDescent="0.2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</row>
    <row r="596" spans="1:34" ht="15.75" customHeight="1" x14ac:dyDescent="0.25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</row>
    <row r="597" spans="1:34" ht="15.75" customHeight="1" x14ac:dyDescent="0.25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</row>
    <row r="598" spans="1:34" ht="15.75" customHeight="1" x14ac:dyDescent="0.25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</row>
    <row r="599" spans="1:34" ht="15.75" customHeight="1" x14ac:dyDescent="0.25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</row>
    <row r="600" spans="1:34" ht="15.75" customHeight="1" x14ac:dyDescent="0.25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</row>
    <row r="601" spans="1:34" ht="15.75" customHeight="1" x14ac:dyDescent="0.25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</row>
    <row r="602" spans="1:34" ht="15.75" customHeight="1" x14ac:dyDescent="0.25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</row>
    <row r="603" spans="1:34" ht="15.75" customHeight="1" x14ac:dyDescent="0.25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</row>
    <row r="604" spans="1:34" ht="15.75" customHeight="1" x14ac:dyDescent="0.25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</row>
    <row r="605" spans="1:34" ht="15.75" customHeight="1" x14ac:dyDescent="0.2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</row>
    <row r="606" spans="1:34" ht="15.75" customHeight="1" x14ac:dyDescent="0.25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</row>
    <row r="607" spans="1:34" ht="15.75" customHeight="1" x14ac:dyDescent="0.25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</row>
    <row r="608" spans="1:34" ht="15.75" customHeight="1" x14ac:dyDescent="0.25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</row>
    <row r="609" spans="1:34" ht="15.75" customHeight="1" x14ac:dyDescent="0.25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</row>
    <row r="610" spans="1:34" ht="15.75" customHeight="1" x14ac:dyDescent="0.25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</row>
    <row r="611" spans="1:34" ht="15.75" customHeight="1" x14ac:dyDescent="0.25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</row>
    <row r="612" spans="1:34" ht="15.75" customHeight="1" x14ac:dyDescent="0.25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</row>
    <row r="613" spans="1:34" ht="15.75" customHeight="1" x14ac:dyDescent="0.25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</row>
    <row r="614" spans="1:34" ht="15.75" customHeight="1" x14ac:dyDescent="0.25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</row>
    <row r="615" spans="1:34" ht="15.75" customHeight="1" x14ac:dyDescent="0.2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</row>
    <row r="616" spans="1:34" ht="15.75" customHeight="1" x14ac:dyDescent="0.25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</row>
    <row r="617" spans="1:34" ht="15.75" customHeight="1" x14ac:dyDescent="0.25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</row>
    <row r="618" spans="1:34" ht="15.75" customHeight="1" x14ac:dyDescent="0.25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</row>
    <row r="619" spans="1:34" ht="15.75" customHeight="1" x14ac:dyDescent="0.25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</row>
    <row r="620" spans="1:34" ht="15.75" customHeight="1" x14ac:dyDescent="0.25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</row>
    <row r="621" spans="1:34" ht="15.75" customHeight="1" x14ac:dyDescent="0.25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</row>
    <row r="622" spans="1:34" ht="15.75" customHeight="1" x14ac:dyDescent="0.25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</row>
    <row r="623" spans="1:34" ht="15.75" customHeight="1" x14ac:dyDescent="0.25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</row>
    <row r="624" spans="1:34" ht="15.75" customHeight="1" x14ac:dyDescent="0.25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</row>
    <row r="625" spans="1:34" ht="15.75" customHeight="1" x14ac:dyDescent="0.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</row>
    <row r="626" spans="1:34" ht="15.75" customHeight="1" x14ac:dyDescent="0.25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</row>
    <row r="627" spans="1:34" ht="15.75" customHeight="1" x14ac:dyDescent="0.25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</row>
    <row r="628" spans="1:34" ht="15.75" customHeight="1" x14ac:dyDescent="0.25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</row>
    <row r="629" spans="1:34" ht="15.75" customHeight="1" x14ac:dyDescent="0.25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</row>
    <row r="630" spans="1:34" ht="15.75" customHeight="1" x14ac:dyDescent="0.25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</row>
    <row r="631" spans="1:34" ht="15.75" customHeight="1" x14ac:dyDescent="0.25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</row>
    <row r="632" spans="1:34" ht="15.75" customHeight="1" x14ac:dyDescent="0.25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</row>
    <row r="633" spans="1:34" ht="15.75" customHeight="1" x14ac:dyDescent="0.25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</row>
    <row r="634" spans="1:34" ht="15.75" customHeight="1" x14ac:dyDescent="0.25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</row>
    <row r="635" spans="1:34" ht="15.75" customHeight="1" x14ac:dyDescent="0.2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</row>
    <row r="636" spans="1:34" ht="15.75" customHeight="1" x14ac:dyDescent="0.25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</row>
    <row r="637" spans="1:34" ht="15.75" customHeight="1" x14ac:dyDescent="0.25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</row>
    <row r="638" spans="1:34" ht="15.75" customHeight="1" x14ac:dyDescent="0.25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</row>
    <row r="639" spans="1:34" ht="15.75" customHeight="1" x14ac:dyDescent="0.25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</row>
    <row r="640" spans="1:34" ht="15.75" customHeight="1" x14ac:dyDescent="0.25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</row>
    <row r="641" spans="1:34" ht="15.75" customHeight="1" x14ac:dyDescent="0.25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</row>
    <row r="642" spans="1:34" ht="15.75" customHeight="1" x14ac:dyDescent="0.25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</row>
    <row r="643" spans="1:34" ht="15.75" customHeight="1" x14ac:dyDescent="0.25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</row>
    <row r="644" spans="1:34" ht="15.75" customHeight="1" x14ac:dyDescent="0.25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</row>
    <row r="645" spans="1:34" ht="15.75" customHeight="1" x14ac:dyDescent="0.2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</row>
    <row r="646" spans="1:34" ht="15.75" customHeight="1" x14ac:dyDescent="0.25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</row>
    <row r="647" spans="1:34" ht="15.75" customHeight="1" x14ac:dyDescent="0.25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</row>
    <row r="648" spans="1:34" ht="15.75" customHeight="1" x14ac:dyDescent="0.25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</row>
    <row r="649" spans="1:34" ht="15.75" customHeight="1" x14ac:dyDescent="0.25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</row>
    <row r="650" spans="1:34" ht="15.75" customHeight="1" x14ac:dyDescent="0.25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</row>
    <row r="651" spans="1:34" ht="15.75" customHeight="1" x14ac:dyDescent="0.25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</row>
    <row r="652" spans="1:34" ht="15.75" customHeight="1" x14ac:dyDescent="0.25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</row>
    <row r="653" spans="1:34" ht="15.75" customHeight="1" x14ac:dyDescent="0.25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</row>
    <row r="654" spans="1:34" ht="15.75" customHeight="1" x14ac:dyDescent="0.25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</row>
    <row r="655" spans="1:34" ht="15.75" customHeight="1" x14ac:dyDescent="0.2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</row>
    <row r="656" spans="1:34" ht="15.75" customHeight="1" x14ac:dyDescent="0.25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</row>
    <row r="657" spans="1:34" ht="15.75" customHeight="1" x14ac:dyDescent="0.25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</row>
    <row r="658" spans="1:34" ht="15.75" customHeight="1" x14ac:dyDescent="0.25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</row>
    <row r="659" spans="1:34" ht="15.75" customHeight="1" x14ac:dyDescent="0.25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</row>
    <row r="660" spans="1:34" ht="15.75" customHeight="1" x14ac:dyDescent="0.25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</row>
    <row r="661" spans="1:34" ht="15.75" customHeight="1" x14ac:dyDescent="0.25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</row>
    <row r="662" spans="1:34" ht="15.75" customHeight="1" x14ac:dyDescent="0.25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</row>
    <row r="663" spans="1:34" ht="15.75" customHeight="1" x14ac:dyDescent="0.25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</row>
    <row r="664" spans="1:34" ht="15.75" customHeight="1" x14ac:dyDescent="0.25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</row>
    <row r="665" spans="1:34" ht="15.75" customHeight="1" x14ac:dyDescent="0.2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</row>
    <row r="666" spans="1:34" ht="15.75" customHeight="1" x14ac:dyDescent="0.25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</row>
    <row r="667" spans="1:34" ht="15.75" customHeight="1" x14ac:dyDescent="0.25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</row>
    <row r="668" spans="1:34" ht="15.75" customHeight="1" x14ac:dyDescent="0.25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</row>
    <row r="669" spans="1:34" ht="15.75" customHeight="1" x14ac:dyDescent="0.25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</row>
    <row r="670" spans="1:34" ht="15.75" customHeight="1" x14ac:dyDescent="0.25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</row>
    <row r="671" spans="1:34" ht="15.75" customHeight="1" x14ac:dyDescent="0.25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</row>
    <row r="672" spans="1:34" ht="15.75" customHeight="1" x14ac:dyDescent="0.25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</row>
    <row r="673" spans="1:34" ht="15.75" customHeight="1" x14ac:dyDescent="0.25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</row>
    <row r="674" spans="1:34" ht="15.75" customHeight="1" x14ac:dyDescent="0.25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</row>
    <row r="675" spans="1:34" ht="15.75" customHeight="1" x14ac:dyDescent="0.2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</row>
    <row r="676" spans="1:34" ht="15.75" customHeight="1" x14ac:dyDescent="0.25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</row>
    <row r="677" spans="1:34" ht="15.75" customHeight="1" x14ac:dyDescent="0.25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</row>
    <row r="678" spans="1:34" ht="15.75" customHeight="1" x14ac:dyDescent="0.25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</row>
    <row r="679" spans="1:34" ht="15.75" customHeight="1" x14ac:dyDescent="0.25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</row>
    <row r="680" spans="1:34" ht="15.75" customHeight="1" x14ac:dyDescent="0.25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</row>
    <row r="681" spans="1:34" ht="15.75" customHeight="1" x14ac:dyDescent="0.25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</row>
    <row r="682" spans="1:34" ht="15.75" customHeight="1" x14ac:dyDescent="0.25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</row>
    <row r="683" spans="1:34" ht="15.75" customHeight="1" x14ac:dyDescent="0.25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</row>
    <row r="684" spans="1:34" ht="15.75" customHeight="1" x14ac:dyDescent="0.25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</row>
    <row r="685" spans="1:34" ht="15.75" customHeight="1" x14ac:dyDescent="0.2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</row>
    <row r="686" spans="1:34" ht="15.75" customHeight="1" x14ac:dyDescent="0.25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</row>
    <row r="687" spans="1:34" ht="15.75" customHeight="1" x14ac:dyDescent="0.25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</row>
    <row r="688" spans="1:34" ht="15.75" customHeight="1" x14ac:dyDescent="0.25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</row>
    <row r="689" spans="1:34" ht="15.75" customHeight="1" x14ac:dyDescent="0.25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</row>
    <row r="690" spans="1:34" ht="15.75" customHeight="1" x14ac:dyDescent="0.25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</row>
    <row r="691" spans="1:34" ht="15.75" customHeight="1" x14ac:dyDescent="0.25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</row>
    <row r="692" spans="1:34" ht="15.75" customHeight="1" x14ac:dyDescent="0.25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</row>
    <row r="693" spans="1:34" ht="15.75" customHeight="1" x14ac:dyDescent="0.25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</row>
    <row r="694" spans="1:34" ht="15.75" customHeight="1" x14ac:dyDescent="0.25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</row>
    <row r="695" spans="1:34" ht="15.75" customHeight="1" x14ac:dyDescent="0.2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</row>
    <row r="696" spans="1:34" ht="15.75" customHeight="1" x14ac:dyDescent="0.25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</row>
    <row r="697" spans="1:34" ht="15.75" customHeight="1" x14ac:dyDescent="0.25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</row>
    <row r="698" spans="1:34" ht="15.75" customHeight="1" x14ac:dyDescent="0.25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</row>
    <row r="699" spans="1:34" ht="15.75" customHeight="1" x14ac:dyDescent="0.25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</row>
    <row r="700" spans="1:34" ht="15.75" customHeight="1" x14ac:dyDescent="0.25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</row>
    <row r="701" spans="1:34" ht="15.75" customHeight="1" x14ac:dyDescent="0.25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</row>
    <row r="702" spans="1:34" ht="15.75" customHeight="1" x14ac:dyDescent="0.25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</row>
    <row r="703" spans="1:34" ht="15.75" customHeight="1" x14ac:dyDescent="0.25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</row>
    <row r="704" spans="1:34" ht="15.75" customHeight="1" x14ac:dyDescent="0.25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</row>
    <row r="705" spans="1:34" ht="15.75" customHeight="1" x14ac:dyDescent="0.2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</row>
    <row r="706" spans="1:34" ht="15.75" customHeight="1" x14ac:dyDescent="0.25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</row>
    <row r="707" spans="1:34" ht="15.75" customHeight="1" x14ac:dyDescent="0.25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</row>
    <row r="708" spans="1:34" ht="15.75" customHeight="1" x14ac:dyDescent="0.25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</row>
    <row r="709" spans="1:34" ht="15.75" customHeight="1" x14ac:dyDescent="0.25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</row>
    <row r="710" spans="1:34" ht="15.75" customHeight="1" x14ac:dyDescent="0.25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</row>
    <row r="711" spans="1:34" ht="15.75" customHeight="1" x14ac:dyDescent="0.25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</row>
    <row r="712" spans="1:34" ht="15.75" customHeight="1" x14ac:dyDescent="0.25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</row>
    <row r="713" spans="1:34" ht="15.75" customHeight="1" x14ac:dyDescent="0.25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</row>
    <row r="714" spans="1:34" ht="15.75" customHeight="1" x14ac:dyDescent="0.25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</row>
    <row r="715" spans="1:34" ht="15.75" customHeight="1" x14ac:dyDescent="0.2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</row>
    <row r="716" spans="1:34" ht="15.75" customHeight="1" x14ac:dyDescent="0.25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</row>
    <row r="717" spans="1:34" ht="15.75" customHeight="1" x14ac:dyDescent="0.25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</row>
    <row r="718" spans="1:34" ht="15.75" customHeight="1" x14ac:dyDescent="0.25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</row>
    <row r="719" spans="1:34" ht="15.75" customHeight="1" x14ac:dyDescent="0.25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</row>
    <row r="720" spans="1:34" ht="15.75" customHeight="1" x14ac:dyDescent="0.25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</row>
    <row r="721" spans="1:34" ht="15.75" customHeight="1" x14ac:dyDescent="0.25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</row>
    <row r="722" spans="1:34" ht="15.75" customHeight="1" x14ac:dyDescent="0.25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</row>
    <row r="723" spans="1:34" ht="15.75" customHeight="1" x14ac:dyDescent="0.25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</row>
    <row r="724" spans="1:34" ht="15.75" customHeight="1" x14ac:dyDescent="0.25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</row>
    <row r="725" spans="1:34" ht="15.75" customHeight="1" x14ac:dyDescent="0.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</row>
    <row r="726" spans="1:34" ht="15.75" customHeight="1" x14ac:dyDescent="0.25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</row>
    <row r="727" spans="1:34" ht="15.75" customHeight="1" x14ac:dyDescent="0.25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</row>
    <row r="728" spans="1:34" ht="15.75" customHeight="1" x14ac:dyDescent="0.25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</row>
    <row r="729" spans="1:34" ht="15.75" customHeight="1" x14ac:dyDescent="0.25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</row>
    <row r="730" spans="1:34" ht="15.75" customHeight="1" x14ac:dyDescent="0.25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</row>
    <row r="731" spans="1:34" ht="15.75" customHeight="1" x14ac:dyDescent="0.25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</row>
    <row r="732" spans="1:34" ht="15.75" customHeight="1" x14ac:dyDescent="0.25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</row>
    <row r="733" spans="1:34" ht="15.75" customHeight="1" x14ac:dyDescent="0.25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</row>
    <row r="734" spans="1:34" ht="15.75" customHeight="1" x14ac:dyDescent="0.25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</row>
    <row r="735" spans="1:34" ht="15.75" customHeight="1" x14ac:dyDescent="0.2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</row>
    <row r="736" spans="1:34" ht="15.75" customHeight="1" x14ac:dyDescent="0.25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</row>
    <row r="737" spans="1:34" ht="15.75" customHeight="1" x14ac:dyDescent="0.25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</row>
    <row r="738" spans="1:34" ht="15.75" customHeight="1" x14ac:dyDescent="0.25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</row>
    <row r="739" spans="1:34" ht="15.75" customHeight="1" x14ac:dyDescent="0.25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</row>
    <row r="740" spans="1:34" ht="15.75" customHeight="1" x14ac:dyDescent="0.25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</row>
    <row r="741" spans="1:34" ht="15.75" customHeight="1" x14ac:dyDescent="0.25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</row>
    <row r="742" spans="1:34" ht="15.75" customHeight="1" x14ac:dyDescent="0.25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</row>
    <row r="743" spans="1:34" ht="15.75" customHeight="1" x14ac:dyDescent="0.25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</row>
    <row r="744" spans="1:34" ht="15.75" customHeight="1" x14ac:dyDescent="0.25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</row>
    <row r="745" spans="1:34" ht="15.75" customHeight="1" x14ac:dyDescent="0.2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</row>
    <row r="746" spans="1:34" ht="15.75" customHeight="1" x14ac:dyDescent="0.25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</row>
    <row r="747" spans="1:34" ht="15.75" customHeight="1" x14ac:dyDescent="0.25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</row>
    <row r="748" spans="1:34" ht="15.75" customHeight="1" x14ac:dyDescent="0.25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</row>
    <row r="749" spans="1:34" ht="15.75" customHeight="1" x14ac:dyDescent="0.25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</row>
    <row r="750" spans="1:34" ht="15.75" customHeight="1" x14ac:dyDescent="0.25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</row>
    <row r="751" spans="1:34" ht="15.75" customHeight="1" x14ac:dyDescent="0.25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</row>
    <row r="752" spans="1:34" ht="15.75" customHeight="1" x14ac:dyDescent="0.25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</row>
    <row r="753" spans="1:34" ht="15.75" customHeight="1" x14ac:dyDescent="0.25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</row>
    <row r="754" spans="1:34" ht="15.75" customHeight="1" x14ac:dyDescent="0.25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</row>
    <row r="755" spans="1:34" ht="15.75" customHeight="1" x14ac:dyDescent="0.2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</row>
    <row r="756" spans="1:34" ht="15.75" customHeight="1" x14ac:dyDescent="0.25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</row>
    <row r="757" spans="1:34" ht="15.75" customHeight="1" x14ac:dyDescent="0.25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</row>
    <row r="758" spans="1:34" ht="15.75" customHeight="1" x14ac:dyDescent="0.25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</row>
    <row r="759" spans="1:34" ht="15.75" customHeight="1" x14ac:dyDescent="0.25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</row>
    <row r="760" spans="1:34" ht="15.75" customHeight="1" x14ac:dyDescent="0.25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</row>
    <row r="761" spans="1:34" ht="15.75" customHeight="1" x14ac:dyDescent="0.25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</row>
    <row r="762" spans="1:34" ht="15.75" customHeight="1" x14ac:dyDescent="0.25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</row>
    <row r="763" spans="1:34" ht="15.75" customHeight="1" x14ac:dyDescent="0.25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</row>
    <row r="764" spans="1:34" ht="15.75" customHeight="1" x14ac:dyDescent="0.25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</row>
    <row r="765" spans="1:34" ht="15.75" customHeight="1" x14ac:dyDescent="0.2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</row>
    <row r="766" spans="1:34" ht="15.75" customHeight="1" x14ac:dyDescent="0.25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</row>
    <row r="767" spans="1:34" ht="15.75" customHeight="1" x14ac:dyDescent="0.25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</row>
    <row r="768" spans="1:34" ht="15.75" customHeight="1" x14ac:dyDescent="0.25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</row>
    <row r="769" spans="1:34" ht="15.75" customHeight="1" x14ac:dyDescent="0.25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</row>
    <row r="770" spans="1:34" ht="15.75" customHeight="1" x14ac:dyDescent="0.25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</row>
    <row r="771" spans="1:34" ht="15.75" customHeight="1" x14ac:dyDescent="0.25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</row>
    <row r="772" spans="1:34" ht="15.75" customHeight="1" x14ac:dyDescent="0.25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</row>
    <row r="773" spans="1:34" ht="15.75" customHeight="1" x14ac:dyDescent="0.25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</row>
    <row r="774" spans="1:34" ht="15.75" customHeight="1" x14ac:dyDescent="0.25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</row>
    <row r="775" spans="1:34" ht="15.75" customHeight="1" x14ac:dyDescent="0.2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</row>
    <row r="776" spans="1:34" ht="15.75" customHeight="1" x14ac:dyDescent="0.25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</row>
    <row r="777" spans="1:34" ht="15.75" customHeight="1" x14ac:dyDescent="0.25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</row>
    <row r="778" spans="1:34" ht="15.75" customHeight="1" x14ac:dyDescent="0.25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</row>
    <row r="779" spans="1:34" ht="15.75" customHeight="1" x14ac:dyDescent="0.25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</row>
    <row r="780" spans="1:34" ht="15.75" customHeight="1" x14ac:dyDescent="0.25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</row>
    <row r="781" spans="1:34" ht="15.75" customHeight="1" x14ac:dyDescent="0.25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</row>
    <row r="782" spans="1:34" ht="15.75" customHeight="1" x14ac:dyDescent="0.25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</row>
    <row r="783" spans="1:34" ht="15.75" customHeight="1" x14ac:dyDescent="0.25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</row>
    <row r="784" spans="1:34" ht="15.75" customHeight="1" x14ac:dyDescent="0.25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</row>
    <row r="785" spans="1:34" ht="15.75" customHeight="1" x14ac:dyDescent="0.2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</row>
    <row r="786" spans="1:34" ht="15.75" customHeight="1" x14ac:dyDescent="0.25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</row>
    <row r="787" spans="1:34" ht="15.75" customHeight="1" x14ac:dyDescent="0.25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</row>
    <row r="788" spans="1:34" ht="15.75" customHeight="1" x14ac:dyDescent="0.25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</row>
    <row r="789" spans="1:34" ht="15.75" customHeight="1" x14ac:dyDescent="0.25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</row>
    <row r="790" spans="1:34" ht="15.75" customHeight="1" x14ac:dyDescent="0.25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</row>
    <row r="791" spans="1:34" ht="15.75" customHeight="1" x14ac:dyDescent="0.25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</row>
    <row r="792" spans="1:34" ht="15.75" customHeight="1" x14ac:dyDescent="0.25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</row>
    <row r="793" spans="1:34" ht="15.75" customHeight="1" x14ac:dyDescent="0.25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</row>
    <row r="794" spans="1:34" ht="15.75" customHeight="1" x14ac:dyDescent="0.25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</row>
    <row r="795" spans="1:34" ht="15.75" customHeight="1" x14ac:dyDescent="0.2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</row>
    <row r="796" spans="1:34" ht="15.75" customHeight="1" x14ac:dyDescent="0.25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</row>
    <row r="797" spans="1:34" ht="15.75" customHeight="1" x14ac:dyDescent="0.25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</row>
    <row r="798" spans="1:34" ht="15.75" customHeight="1" x14ac:dyDescent="0.25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</row>
    <row r="799" spans="1:34" ht="15.75" customHeight="1" x14ac:dyDescent="0.25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</row>
    <row r="800" spans="1:34" ht="15.75" customHeight="1" x14ac:dyDescent="0.25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</row>
    <row r="801" spans="1:34" ht="15.75" customHeight="1" x14ac:dyDescent="0.25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</row>
    <row r="802" spans="1:34" ht="15.75" customHeight="1" x14ac:dyDescent="0.25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</row>
    <row r="803" spans="1:34" ht="15.75" customHeight="1" x14ac:dyDescent="0.25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</row>
    <row r="804" spans="1:34" ht="15.75" customHeight="1" x14ac:dyDescent="0.25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</row>
    <row r="805" spans="1:34" ht="15.75" customHeight="1" x14ac:dyDescent="0.2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</row>
    <row r="806" spans="1:34" ht="15.75" customHeight="1" x14ac:dyDescent="0.25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</row>
    <row r="807" spans="1:34" ht="15.75" customHeight="1" x14ac:dyDescent="0.25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</row>
    <row r="808" spans="1:34" ht="15.75" customHeight="1" x14ac:dyDescent="0.25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</row>
    <row r="809" spans="1:34" ht="15.75" customHeight="1" x14ac:dyDescent="0.25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</row>
    <row r="810" spans="1:34" ht="15.75" customHeight="1" x14ac:dyDescent="0.25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</row>
    <row r="811" spans="1:34" ht="15.75" customHeight="1" x14ac:dyDescent="0.25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</row>
    <row r="812" spans="1:34" ht="15.75" customHeight="1" x14ac:dyDescent="0.25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</row>
    <row r="813" spans="1:34" ht="15.75" customHeight="1" x14ac:dyDescent="0.25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</row>
    <row r="814" spans="1:34" ht="15.75" customHeight="1" x14ac:dyDescent="0.25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</row>
    <row r="815" spans="1:34" ht="15.75" customHeight="1" x14ac:dyDescent="0.2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</row>
    <row r="816" spans="1:34" ht="15.75" customHeight="1" x14ac:dyDescent="0.25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</row>
    <row r="817" spans="1:34" ht="15.75" customHeight="1" x14ac:dyDescent="0.25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</row>
    <row r="818" spans="1:34" ht="15.75" customHeight="1" x14ac:dyDescent="0.25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</row>
    <row r="819" spans="1:34" ht="15.75" customHeight="1" x14ac:dyDescent="0.25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</row>
    <row r="820" spans="1:34" ht="15.75" customHeight="1" x14ac:dyDescent="0.25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</row>
    <row r="821" spans="1:34" ht="15.75" customHeight="1" x14ac:dyDescent="0.25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</row>
    <row r="822" spans="1:34" ht="15.75" customHeight="1" x14ac:dyDescent="0.25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</row>
    <row r="823" spans="1:34" ht="15.75" customHeight="1" x14ac:dyDescent="0.25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</row>
    <row r="824" spans="1:34" ht="15.75" customHeight="1" x14ac:dyDescent="0.25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</row>
    <row r="825" spans="1:34" ht="15.75" customHeight="1" x14ac:dyDescent="0.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</row>
    <row r="826" spans="1:34" ht="15.75" customHeight="1" x14ac:dyDescent="0.25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</row>
    <row r="827" spans="1:34" ht="15.75" customHeight="1" x14ac:dyDescent="0.25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</row>
    <row r="828" spans="1:34" ht="15.75" customHeight="1" x14ac:dyDescent="0.25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</row>
    <row r="829" spans="1:34" ht="15.75" customHeight="1" x14ac:dyDescent="0.25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</row>
    <row r="830" spans="1:34" ht="15.75" customHeight="1" x14ac:dyDescent="0.25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</row>
    <row r="831" spans="1:34" ht="15.75" customHeight="1" x14ac:dyDescent="0.25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</row>
    <row r="832" spans="1:34" ht="15.75" customHeight="1" x14ac:dyDescent="0.25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</row>
    <row r="833" spans="1:34" ht="15.75" customHeight="1" x14ac:dyDescent="0.25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</row>
    <row r="834" spans="1:34" ht="15.75" customHeight="1" x14ac:dyDescent="0.25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</row>
    <row r="835" spans="1:34" ht="15.75" customHeight="1" x14ac:dyDescent="0.2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</row>
    <row r="836" spans="1:34" ht="15.75" customHeight="1" x14ac:dyDescent="0.25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</row>
    <row r="837" spans="1:34" ht="15.75" customHeight="1" x14ac:dyDescent="0.25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</row>
    <row r="838" spans="1:34" ht="15.75" customHeight="1" x14ac:dyDescent="0.25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</row>
    <row r="839" spans="1:34" ht="15.75" customHeight="1" x14ac:dyDescent="0.25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</row>
    <row r="840" spans="1:34" ht="15.75" customHeight="1" x14ac:dyDescent="0.25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</row>
    <row r="841" spans="1:34" ht="15.75" customHeight="1" x14ac:dyDescent="0.25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</row>
    <row r="842" spans="1:34" ht="15.75" customHeight="1" x14ac:dyDescent="0.25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</row>
    <row r="843" spans="1:34" ht="15.75" customHeight="1" x14ac:dyDescent="0.25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</row>
    <row r="844" spans="1:34" ht="15.75" customHeight="1" x14ac:dyDescent="0.25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</row>
    <row r="845" spans="1:34" ht="15.75" customHeight="1" x14ac:dyDescent="0.2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</row>
    <row r="846" spans="1:34" ht="15.75" customHeight="1" x14ac:dyDescent="0.25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</row>
    <row r="847" spans="1:34" ht="15.75" customHeight="1" x14ac:dyDescent="0.25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</row>
    <row r="848" spans="1:34" ht="15.75" customHeight="1" x14ac:dyDescent="0.25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</row>
    <row r="849" spans="1:34" ht="15.75" customHeight="1" x14ac:dyDescent="0.25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</row>
    <row r="850" spans="1:34" ht="15.75" customHeight="1" x14ac:dyDescent="0.25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</row>
    <row r="851" spans="1:34" ht="15.75" customHeight="1" x14ac:dyDescent="0.25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</row>
    <row r="852" spans="1:34" ht="15.75" customHeight="1" x14ac:dyDescent="0.25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</row>
    <row r="853" spans="1:34" ht="15.75" customHeight="1" x14ac:dyDescent="0.25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</row>
    <row r="854" spans="1:34" ht="15.75" customHeight="1" x14ac:dyDescent="0.25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</row>
    <row r="855" spans="1:34" ht="15.75" customHeight="1" x14ac:dyDescent="0.2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</row>
    <row r="856" spans="1:34" ht="15.75" customHeight="1" x14ac:dyDescent="0.25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</row>
    <row r="857" spans="1:34" ht="15.75" customHeight="1" x14ac:dyDescent="0.25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</row>
    <row r="858" spans="1:34" ht="15.75" customHeight="1" x14ac:dyDescent="0.25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</row>
    <row r="859" spans="1:34" ht="15.75" customHeight="1" x14ac:dyDescent="0.25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</row>
    <row r="860" spans="1:34" ht="15.75" customHeight="1" x14ac:dyDescent="0.25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</row>
    <row r="861" spans="1:34" ht="15.75" customHeight="1" x14ac:dyDescent="0.25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</row>
    <row r="862" spans="1:34" ht="15.75" customHeight="1" x14ac:dyDescent="0.25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</row>
    <row r="863" spans="1:34" ht="15.75" customHeight="1" x14ac:dyDescent="0.25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</row>
    <row r="864" spans="1:34" ht="15.75" customHeight="1" x14ac:dyDescent="0.25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</row>
    <row r="865" spans="1:34" ht="15.75" customHeight="1" x14ac:dyDescent="0.2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</row>
    <row r="866" spans="1:34" ht="15.75" customHeight="1" x14ac:dyDescent="0.25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</row>
    <row r="867" spans="1:34" ht="15.75" customHeight="1" x14ac:dyDescent="0.25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</row>
    <row r="868" spans="1:34" ht="15.75" customHeight="1" x14ac:dyDescent="0.25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</row>
    <row r="869" spans="1:34" ht="15.75" customHeight="1" x14ac:dyDescent="0.25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</row>
    <row r="870" spans="1:34" ht="15.75" customHeight="1" x14ac:dyDescent="0.25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</row>
    <row r="871" spans="1:34" ht="15.75" customHeight="1" x14ac:dyDescent="0.25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</row>
    <row r="872" spans="1:34" ht="15.75" customHeight="1" x14ac:dyDescent="0.25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</row>
    <row r="873" spans="1:34" ht="15.75" customHeight="1" x14ac:dyDescent="0.25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</row>
    <row r="874" spans="1:34" ht="15.75" customHeight="1" x14ac:dyDescent="0.25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</row>
    <row r="875" spans="1:34" ht="15.75" customHeight="1" x14ac:dyDescent="0.2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</row>
    <row r="876" spans="1:34" ht="15.75" customHeight="1" x14ac:dyDescent="0.25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</row>
    <row r="877" spans="1:34" ht="15.75" customHeight="1" x14ac:dyDescent="0.25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</row>
    <row r="878" spans="1:34" ht="15.75" customHeight="1" x14ac:dyDescent="0.25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</row>
    <row r="879" spans="1:34" ht="15.75" customHeight="1" x14ac:dyDescent="0.25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</row>
    <row r="880" spans="1:34" ht="15.75" customHeight="1" x14ac:dyDescent="0.25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</row>
    <row r="881" spans="1:34" ht="15.75" customHeight="1" x14ac:dyDescent="0.25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</row>
    <row r="882" spans="1:34" ht="15.75" customHeight="1" x14ac:dyDescent="0.25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</row>
    <row r="883" spans="1:34" ht="15.75" customHeight="1" x14ac:dyDescent="0.25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</row>
    <row r="884" spans="1:34" ht="15.75" customHeight="1" x14ac:dyDescent="0.25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</row>
    <row r="885" spans="1:34" ht="15.75" customHeight="1" x14ac:dyDescent="0.2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</row>
    <row r="886" spans="1:34" ht="15.75" customHeight="1" x14ac:dyDescent="0.25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</row>
    <row r="887" spans="1:34" ht="15.75" customHeight="1" x14ac:dyDescent="0.25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</row>
    <row r="888" spans="1:34" ht="15.75" customHeight="1" x14ac:dyDescent="0.25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</row>
    <row r="889" spans="1:34" ht="15.75" customHeight="1" x14ac:dyDescent="0.25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</row>
    <row r="890" spans="1:34" ht="15.75" customHeight="1" x14ac:dyDescent="0.25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</row>
    <row r="891" spans="1:34" ht="15.75" customHeight="1" x14ac:dyDescent="0.25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</row>
    <row r="892" spans="1:34" ht="15.75" customHeight="1" x14ac:dyDescent="0.25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</row>
    <row r="893" spans="1:34" ht="15.75" customHeight="1" x14ac:dyDescent="0.25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</row>
    <row r="894" spans="1:34" ht="15.75" customHeight="1" x14ac:dyDescent="0.25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</row>
    <row r="895" spans="1:34" ht="15.75" customHeight="1" x14ac:dyDescent="0.2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</row>
    <row r="896" spans="1:34" ht="15.75" customHeight="1" x14ac:dyDescent="0.25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</row>
    <row r="897" spans="1:34" ht="15.75" customHeight="1" x14ac:dyDescent="0.25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</row>
    <row r="898" spans="1:34" ht="15.75" customHeight="1" x14ac:dyDescent="0.25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</row>
    <row r="899" spans="1:34" ht="15.75" customHeight="1" x14ac:dyDescent="0.25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</row>
    <row r="900" spans="1:34" ht="15.75" customHeight="1" x14ac:dyDescent="0.25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</row>
    <row r="901" spans="1:34" ht="15.75" customHeight="1" x14ac:dyDescent="0.25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</row>
    <row r="902" spans="1:34" ht="15.75" customHeight="1" x14ac:dyDescent="0.25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</row>
    <row r="903" spans="1:34" ht="15.75" customHeight="1" x14ac:dyDescent="0.25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</row>
    <row r="904" spans="1:34" ht="15.75" customHeight="1" x14ac:dyDescent="0.25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</row>
    <row r="905" spans="1:34" ht="15.75" customHeight="1" x14ac:dyDescent="0.2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</row>
    <row r="906" spans="1:34" ht="15.75" customHeight="1" x14ac:dyDescent="0.25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</row>
    <row r="907" spans="1:34" ht="15.75" customHeight="1" x14ac:dyDescent="0.25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</row>
    <row r="908" spans="1:34" ht="15.75" customHeight="1" x14ac:dyDescent="0.25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</row>
    <row r="909" spans="1:34" ht="15.75" customHeight="1" x14ac:dyDescent="0.25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</row>
    <row r="910" spans="1:34" ht="15.75" customHeight="1" x14ac:dyDescent="0.25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</row>
    <row r="911" spans="1:34" ht="15.75" customHeight="1" x14ac:dyDescent="0.25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</row>
    <row r="912" spans="1:34" ht="15.75" customHeight="1" x14ac:dyDescent="0.25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</row>
    <row r="913" spans="1:34" ht="15.75" customHeight="1" x14ac:dyDescent="0.25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</row>
    <row r="914" spans="1:34" ht="15.75" customHeight="1" x14ac:dyDescent="0.25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</row>
    <row r="915" spans="1:34" ht="15.75" customHeight="1" x14ac:dyDescent="0.2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</row>
    <row r="916" spans="1:34" ht="15.75" customHeight="1" x14ac:dyDescent="0.25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</row>
    <row r="917" spans="1:34" ht="15.75" customHeight="1" x14ac:dyDescent="0.25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</row>
    <row r="918" spans="1:34" ht="15.75" customHeight="1" x14ac:dyDescent="0.25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</row>
    <row r="919" spans="1:34" ht="15.75" customHeight="1" x14ac:dyDescent="0.25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</row>
    <row r="920" spans="1:34" ht="15.75" customHeight="1" x14ac:dyDescent="0.25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</row>
    <row r="921" spans="1:34" ht="15.75" customHeight="1" x14ac:dyDescent="0.25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</row>
    <row r="922" spans="1:34" ht="15.75" customHeight="1" x14ac:dyDescent="0.25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</row>
    <row r="923" spans="1:34" ht="15.75" customHeight="1" x14ac:dyDescent="0.25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</row>
    <row r="924" spans="1:34" ht="15.75" customHeight="1" x14ac:dyDescent="0.25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</row>
    <row r="925" spans="1:34" ht="15.75" customHeight="1" x14ac:dyDescent="0.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</row>
    <row r="926" spans="1:34" ht="15.75" customHeight="1" x14ac:dyDescent="0.25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</row>
    <row r="927" spans="1:34" ht="15.75" customHeight="1" x14ac:dyDescent="0.25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</row>
    <row r="928" spans="1:34" ht="15.75" customHeight="1" x14ac:dyDescent="0.25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</row>
    <row r="929" spans="1:34" ht="15.75" customHeight="1" x14ac:dyDescent="0.25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</row>
    <row r="930" spans="1:34" ht="15.75" customHeight="1" x14ac:dyDescent="0.25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</row>
    <row r="931" spans="1:34" ht="15.75" customHeight="1" x14ac:dyDescent="0.25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</row>
    <row r="932" spans="1:34" ht="15.75" customHeight="1" x14ac:dyDescent="0.25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</row>
    <row r="933" spans="1:34" ht="15.75" customHeight="1" x14ac:dyDescent="0.25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</row>
    <row r="934" spans="1:34" ht="15.75" customHeight="1" x14ac:dyDescent="0.25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</row>
    <row r="935" spans="1:34" ht="15.75" customHeight="1" x14ac:dyDescent="0.2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</row>
    <row r="936" spans="1:34" ht="15.75" customHeight="1" x14ac:dyDescent="0.25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</row>
    <row r="937" spans="1:34" ht="15.75" customHeight="1" x14ac:dyDescent="0.25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</row>
    <row r="938" spans="1:34" ht="15.75" customHeight="1" x14ac:dyDescent="0.25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</row>
    <row r="939" spans="1:34" ht="15.75" customHeight="1" x14ac:dyDescent="0.25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</row>
    <row r="940" spans="1:34" ht="15.75" customHeight="1" x14ac:dyDescent="0.25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</row>
    <row r="941" spans="1:34" ht="15.75" customHeight="1" x14ac:dyDescent="0.25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</row>
    <row r="942" spans="1:34" ht="15.75" customHeight="1" x14ac:dyDescent="0.25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</row>
    <row r="943" spans="1:34" ht="15.75" customHeight="1" x14ac:dyDescent="0.25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</row>
    <row r="944" spans="1:34" ht="15.75" customHeight="1" x14ac:dyDescent="0.25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</row>
    <row r="945" spans="1:34" ht="15.75" customHeight="1" x14ac:dyDescent="0.2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</row>
    <row r="946" spans="1:34" ht="15.75" customHeight="1" x14ac:dyDescent="0.25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</row>
    <row r="947" spans="1:34" ht="15.75" customHeight="1" x14ac:dyDescent="0.25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</row>
    <row r="948" spans="1:34" ht="15.75" customHeight="1" x14ac:dyDescent="0.25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</row>
    <row r="949" spans="1:34" ht="15.75" customHeight="1" x14ac:dyDescent="0.25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</row>
    <row r="950" spans="1:34" ht="15.75" customHeight="1" x14ac:dyDescent="0.25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</row>
    <row r="951" spans="1:34" ht="15.75" customHeight="1" x14ac:dyDescent="0.25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</row>
    <row r="952" spans="1:34" ht="15.75" customHeight="1" x14ac:dyDescent="0.25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</row>
    <row r="953" spans="1:34" ht="15.75" customHeight="1" x14ac:dyDescent="0.25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</row>
    <row r="954" spans="1:34" ht="15.75" customHeight="1" x14ac:dyDescent="0.25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</row>
    <row r="955" spans="1:34" ht="15.75" customHeight="1" x14ac:dyDescent="0.2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</row>
    <row r="956" spans="1:34" ht="15.75" customHeight="1" x14ac:dyDescent="0.25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</row>
    <row r="957" spans="1:34" ht="15.75" customHeight="1" x14ac:dyDescent="0.25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</row>
    <row r="958" spans="1:34" ht="15.75" customHeight="1" x14ac:dyDescent="0.25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</row>
    <row r="959" spans="1:34" ht="15.75" customHeight="1" x14ac:dyDescent="0.25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</row>
    <row r="960" spans="1:34" ht="15.75" customHeight="1" x14ac:dyDescent="0.25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</row>
    <row r="961" spans="1:34" ht="15.75" customHeight="1" x14ac:dyDescent="0.25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</row>
    <row r="962" spans="1:34" ht="15.75" customHeight="1" x14ac:dyDescent="0.25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</row>
    <row r="963" spans="1:34" ht="15.75" customHeight="1" x14ac:dyDescent="0.25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</row>
    <row r="964" spans="1:34" ht="15.75" customHeight="1" x14ac:dyDescent="0.25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</row>
    <row r="965" spans="1:34" ht="15.75" customHeight="1" x14ac:dyDescent="0.2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</row>
    <row r="966" spans="1:34" ht="15.75" customHeight="1" x14ac:dyDescent="0.25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</row>
    <row r="967" spans="1:34" ht="15.75" customHeight="1" x14ac:dyDescent="0.25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</row>
    <row r="968" spans="1:34" ht="15.75" customHeight="1" x14ac:dyDescent="0.25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</row>
    <row r="969" spans="1:34" ht="15.75" customHeight="1" x14ac:dyDescent="0.25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</row>
    <row r="970" spans="1:34" ht="15.75" customHeight="1" x14ac:dyDescent="0.25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</row>
    <row r="971" spans="1:34" ht="15.75" customHeight="1" x14ac:dyDescent="0.25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</row>
    <row r="972" spans="1:34" ht="15.75" customHeight="1" x14ac:dyDescent="0.25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</row>
    <row r="973" spans="1:34" ht="15.75" customHeight="1" x14ac:dyDescent="0.25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</row>
    <row r="974" spans="1:34" ht="15.75" customHeight="1" x14ac:dyDescent="0.25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</row>
    <row r="975" spans="1:34" ht="15.75" customHeight="1" x14ac:dyDescent="0.2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</row>
    <row r="976" spans="1:34" ht="15.75" customHeight="1" x14ac:dyDescent="0.25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</row>
    <row r="977" spans="1:34" ht="15.75" customHeight="1" x14ac:dyDescent="0.25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</row>
    <row r="978" spans="1:34" ht="15.75" customHeight="1" x14ac:dyDescent="0.25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</row>
    <row r="979" spans="1:34" ht="15.75" customHeight="1" x14ac:dyDescent="0.25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</row>
    <row r="980" spans="1:34" ht="15.75" customHeight="1" x14ac:dyDescent="0.25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</row>
    <row r="981" spans="1:34" ht="15.75" customHeight="1" x14ac:dyDescent="0.25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</row>
    <row r="982" spans="1:34" ht="15.75" customHeight="1" x14ac:dyDescent="0.25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</row>
    <row r="983" spans="1:34" ht="15.75" customHeight="1" x14ac:dyDescent="0.25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</row>
    <row r="984" spans="1:34" ht="15.75" customHeight="1" x14ac:dyDescent="0.25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</row>
    <row r="985" spans="1:34" ht="15.75" customHeight="1" x14ac:dyDescent="0.2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</row>
    <row r="986" spans="1:34" ht="15.75" customHeight="1" x14ac:dyDescent="0.25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</row>
    <row r="987" spans="1:34" ht="15.75" customHeight="1" x14ac:dyDescent="0.25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</row>
    <row r="988" spans="1:34" ht="15.75" customHeight="1" x14ac:dyDescent="0.25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</row>
    <row r="989" spans="1:34" ht="15.75" customHeight="1" x14ac:dyDescent="0.25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</row>
    <row r="990" spans="1:34" ht="15.75" customHeight="1" x14ac:dyDescent="0.25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</row>
    <row r="991" spans="1:34" ht="15.75" customHeight="1" x14ac:dyDescent="0.25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</row>
    <row r="992" spans="1:34" ht="15.75" customHeight="1" x14ac:dyDescent="0.25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</row>
    <row r="993" spans="1:34" ht="15.75" customHeight="1" x14ac:dyDescent="0.25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</row>
    <row r="994" spans="1:34" ht="15.75" customHeight="1" x14ac:dyDescent="0.25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</row>
    <row r="995" spans="1:34" ht="15.75" customHeight="1" x14ac:dyDescent="0.2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</row>
    <row r="996" spans="1:34" ht="15.75" customHeight="1" x14ac:dyDescent="0.25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</row>
    <row r="997" spans="1:34" ht="15.75" customHeight="1" x14ac:dyDescent="0.25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</row>
    <row r="998" spans="1:34" ht="15.75" customHeight="1" x14ac:dyDescent="0.25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</row>
    <row r="999" spans="1:34" ht="15.75" customHeight="1" x14ac:dyDescent="0.25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</row>
    <row r="1000" spans="1:34" ht="15.75" customHeight="1" x14ac:dyDescent="0.25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</row>
  </sheetData>
  <pageMargins left="0.7" right="0.7" top="0.75" bottom="0.75" header="0" footer="0"/>
  <pageSetup orientation="portrait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</vt:lpstr>
      <vt:lpstr>Resistance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Daoyu Shen</cp:lastModifiedBy>
  <dcterms:modified xsi:type="dcterms:W3CDTF">2026-01-03T22:59:18Z</dcterms:modified>
</cp:coreProperties>
</file>